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אות" sheetId="1" state="visible" r:id="rId1"/>
    <sheet name="לפי טיקר" sheetId="2" state="visible" r:id="rId2"/>
    <sheet name="לפי יום" sheetId="3" state="visible" r:id="rId3"/>
    <sheet name="סינון" sheetId="4" state="visible" r:id="rId4"/>
  </sheets>
  <definedNames>
    <definedName name="_xlnm._FilterDatabase" localSheetId="0" hidden="1">'עסקאות'!$A$1:$O$108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;($#,##0.00);-"/>
    <numFmt numFmtId="166" formatCode="$#,##0;($#,##0);-"/>
    <numFmt numFmtId="167" formatCode="0.0%;(0.0%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2F5F8"/>
      </patternFill>
    </fill>
    <fill>
      <patternFill patternType="solid">
        <fgColor rgb="00E4EAF0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4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167" fontId="2" fillId="3" borderId="1" pivotButton="0" quotePrefix="0" xfId="0"/>
    <xf numFmtId="0" fontId="3" fillId="4" borderId="0" pivotButton="0" quotePrefix="0" xfId="0"/>
    <xf numFmtId="3" fontId="3" fillId="4" borderId="0" pivotButton="0" quotePrefix="0" xfId="0"/>
    <xf numFmtId="166" fontId="3" fillId="4" borderId="0" pivotButton="0" quotePrefix="0" xfId="0"/>
    <xf numFmtId="167" fontId="3" fillId="4" borderId="0" pivotButton="0" quotePrefix="0" xfId="0"/>
    <xf numFmtId="165" fontId="3" fillId="4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66" fontId="2" fillId="3" borderId="0" pivotButton="0" quotePrefix="0" xfId="0"/>
    <xf numFmtId="167" fontId="2" fillId="3" borderId="0" pivotButton="0" quotePrefix="0" xfId="0"/>
    <xf numFmtId="164" fontId="2" fillId="0" borderId="0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8" customWidth="1" min="5" max="5"/>
    <col width="9" customWidth="1" min="6" max="6"/>
    <col width="12" customWidth="1" min="7" max="7"/>
    <col width="9" customWidth="1" min="8" max="8"/>
    <col width="13" customWidth="1" min="9" max="9"/>
    <col width="14" customWidth="1" min="10" max="10"/>
    <col width="17" customWidth="1" min="11" max="11"/>
    <col width="12" customWidth="1" min="12" max="12"/>
    <col width="12" customWidth="1" min="13" max="13"/>
    <col width="13" customWidth="1" min="14" max="14"/>
    <col width="11" customWidth="1" min="15" max="15"/>
  </cols>
  <sheetData>
    <row r="1" ht="30" customHeight="1">
      <c r="A1" s="1" t="inlineStr">
        <is>
          <t>תאריך</t>
        </is>
      </c>
      <c r="B1" s="1" t="inlineStr">
        <is>
          <t>יום</t>
        </is>
      </c>
      <c r="C1" s="1" t="inlineStr">
        <is>
          <t>שעה</t>
        </is>
      </c>
      <c r="D1" s="1" t="inlineStr">
        <is>
          <t>טיקר</t>
        </is>
      </c>
      <c r="E1" s="1" t="inlineStr">
        <is>
          <t>סוג</t>
        </is>
      </c>
      <c r="F1" s="1" t="inlineStr">
        <is>
          <t>כמות</t>
        </is>
      </c>
      <c r="G1" s="1" t="inlineStr">
        <is>
          <t>מחיר יציאה</t>
        </is>
      </c>
      <c r="H1" s="1" t="inlineStr">
        <is>
          <t>מכפיל</t>
        </is>
      </c>
      <c r="I1" s="1" t="inlineStr">
        <is>
          <t>תמורה ($)</t>
        </is>
      </c>
      <c r="J1" s="1" t="inlineStr">
        <is>
          <t>תוצאה נטו ($)</t>
        </is>
      </c>
      <c r="K1" s="1" t="inlineStr">
        <is>
          <t>פרמיה ששולמה ($)</t>
        </is>
      </c>
      <c r="L1" s="1" t="inlineStr">
        <is>
          <t>מחיר כניסה</t>
        </is>
      </c>
      <c r="M1" s="1" t="inlineStr">
        <is>
          <t>% מהפרמיה</t>
        </is>
      </c>
      <c r="N1" s="1" t="inlineStr">
        <is>
          <t>החזקה (דק׳)</t>
        </is>
      </c>
      <c r="O1" s="1" t="inlineStr">
        <is>
          <t>עמלה ($)</t>
        </is>
      </c>
    </row>
    <row r="2">
      <c r="A2" s="2" t="n">
        <v>46258</v>
      </c>
      <c r="B2" s="3" t="inlineStr">
        <is>
          <t>שני</t>
        </is>
      </c>
      <c r="C2" s="3" t="inlineStr">
        <is>
          <t>00:02</t>
        </is>
      </c>
      <c r="D2" s="3" t="inlineStr">
        <is>
          <t>CL</t>
        </is>
      </c>
      <c r="E2" s="3" t="inlineStr">
        <is>
          <t>FUT</t>
        </is>
      </c>
      <c r="F2" s="4" t="n">
        <v>2</v>
      </c>
      <c r="G2" s="5" t="n">
        <v>85.61</v>
      </c>
      <c r="H2" s="4">
        <f>IF(F2*G2=0,"",ROUND(I2/(F2*G2),0))</f>
        <v/>
      </c>
      <c r="I2" s="6" t="n">
        <v>171220</v>
      </c>
      <c r="J2" s="6" t="n">
        <v>-449.44</v>
      </c>
      <c r="K2" s="6">
        <f>I2-J2</f>
        <v/>
      </c>
      <c r="L2" s="5">
        <f>IF(OR(F2=0,H2=""),"",K2/(F2*H2))</f>
        <v/>
      </c>
      <c r="M2" s="7">
        <f>IF(K2=0,"",J2/K2)</f>
        <v/>
      </c>
      <c r="N2" s="4" t="n">
        <v>190.8</v>
      </c>
      <c r="O2" s="5" t="n">
        <v>4.72</v>
      </c>
    </row>
    <row r="3">
      <c r="A3" s="8" t="n">
        <v>46258</v>
      </c>
      <c r="B3" s="9" t="inlineStr">
        <is>
          <t>שני</t>
        </is>
      </c>
      <c r="C3" s="9" t="inlineStr">
        <is>
          <t>00:03</t>
        </is>
      </c>
      <c r="D3" s="9" t="inlineStr">
        <is>
          <t>NQ</t>
        </is>
      </c>
      <c r="E3" s="9" t="inlineStr">
        <is>
          <t>FOP</t>
        </is>
      </c>
      <c r="F3" s="10" t="n">
        <v>6</v>
      </c>
      <c r="G3" s="11" t="n">
        <v>5.5</v>
      </c>
      <c r="H3" s="10">
        <f>IF(F3*G3=0,"",ROUND(I3/(F3*G3),0))</f>
        <v/>
      </c>
      <c r="I3" s="12" t="n">
        <v>660</v>
      </c>
      <c r="J3" s="12" t="n">
        <v>0</v>
      </c>
      <c r="K3" s="12">
        <f>I3-J3</f>
        <v/>
      </c>
      <c r="L3" s="11">
        <f>IF(OR(F3=0,H3=""),"",K3/(F3*H3))</f>
        <v/>
      </c>
      <c r="M3" s="13">
        <f>IF(K3=0,"",J3/K3)</f>
        <v/>
      </c>
      <c r="N3" s="10" t="n">
        <v>0</v>
      </c>
      <c r="O3" s="11" t="n">
        <v>8.460000000000001</v>
      </c>
    </row>
    <row r="4">
      <c r="A4" s="2" t="n">
        <v>46258</v>
      </c>
      <c r="B4" s="3" t="inlineStr">
        <is>
          <t>שני</t>
        </is>
      </c>
      <c r="C4" s="3" t="inlineStr">
        <is>
          <t>01:36</t>
        </is>
      </c>
      <c r="D4" s="3" t="inlineStr">
        <is>
          <t>NQ</t>
        </is>
      </c>
      <c r="E4" s="3" t="inlineStr">
        <is>
          <t>FOP</t>
        </is>
      </c>
      <c r="F4" s="4" t="n">
        <v>1</v>
      </c>
      <c r="G4" s="5" t="n">
        <v>31.75</v>
      </c>
      <c r="H4" s="4">
        <f>IF(F4*G4=0,"",ROUND(I4/(F4*G4),0))</f>
        <v/>
      </c>
      <c r="I4" s="6" t="n">
        <v>635</v>
      </c>
      <c r="J4" s="6" t="n">
        <v>37.18</v>
      </c>
      <c r="K4" s="6">
        <f>I4-J4</f>
        <v/>
      </c>
      <c r="L4" s="5">
        <f>IF(OR(F4=0,H4=""),"",K4/(F4*H4))</f>
        <v/>
      </c>
      <c r="M4" s="7">
        <f>IF(K4=0,"",J4/K4)</f>
        <v/>
      </c>
      <c r="N4" s="4" t="n"/>
      <c r="O4" s="5" t="n">
        <v>1.41</v>
      </c>
    </row>
    <row r="5">
      <c r="A5" s="8" t="n">
        <v>46258</v>
      </c>
      <c r="B5" s="9" t="inlineStr">
        <is>
          <t>שני</t>
        </is>
      </c>
      <c r="C5" s="9" t="inlineStr">
        <is>
          <t>04:20</t>
        </is>
      </c>
      <c r="D5" s="9" t="inlineStr">
        <is>
          <t>NQ</t>
        </is>
      </c>
      <c r="E5" s="9" t="inlineStr">
        <is>
          <t>FOP</t>
        </is>
      </c>
      <c r="F5" s="10" t="n">
        <v>8</v>
      </c>
      <c r="G5" s="11" t="n">
        <v>8.5</v>
      </c>
      <c r="H5" s="10">
        <f>IF(F5*G5=0,"",ROUND(I5/(F5*G5),0))</f>
        <v/>
      </c>
      <c r="I5" s="12" t="n">
        <v>1360</v>
      </c>
      <c r="J5" s="12" t="n">
        <v>-902.5599999999999</v>
      </c>
      <c r="K5" s="12">
        <f>I5-J5</f>
        <v/>
      </c>
      <c r="L5" s="11">
        <f>IF(OR(F5=0,H5=""),"",K5/(F5*H5))</f>
        <v/>
      </c>
      <c r="M5" s="13">
        <f>IF(K5=0,"",J5/K5)</f>
        <v/>
      </c>
      <c r="N5" s="10" t="n">
        <v>128.2</v>
      </c>
      <c r="O5" s="11" t="n">
        <v>11.28</v>
      </c>
    </row>
    <row r="6">
      <c r="A6" s="2" t="n">
        <v>46258</v>
      </c>
      <c r="B6" s="3" t="inlineStr">
        <is>
          <t>שני</t>
        </is>
      </c>
      <c r="C6" s="3" t="inlineStr">
        <is>
          <t>07:40</t>
        </is>
      </c>
      <c r="D6" s="3" t="inlineStr">
        <is>
          <t>NQ</t>
        </is>
      </c>
      <c r="E6" s="3" t="inlineStr">
        <is>
          <t>FOP</t>
        </is>
      </c>
      <c r="F6" s="4" t="n">
        <v>5</v>
      </c>
      <c r="G6" s="5" t="n">
        <v>27</v>
      </c>
      <c r="H6" s="4">
        <f>IF(F6*G6=0,"",ROUND(I6/(F6*G6),0))</f>
        <v/>
      </c>
      <c r="I6" s="6" t="n">
        <v>2700</v>
      </c>
      <c r="J6" s="6" t="n">
        <v>-289.1</v>
      </c>
      <c r="K6" s="6">
        <f>I6-J6</f>
        <v/>
      </c>
      <c r="L6" s="5">
        <f>IF(OR(F6=0,H6=""),"",K6/(F6*H6))</f>
        <v/>
      </c>
      <c r="M6" s="7">
        <f>IF(K6=0,"",J6/K6)</f>
        <v/>
      </c>
      <c r="N6" s="4" t="n">
        <v>0</v>
      </c>
      <c r="O6" s="5" t="n">
        <v>7.05</v>
      </c>
    </row>
    <row r="7">
      <c r="A7" s="8" t="n">
        <v>46258</v>
      </c>
      <c r="B7" s="9" t="inlineStr">
        <is>
          <t>שני</t>
        </is>
      </c>
      <c r="C7" s="9" t="inlineStr">
        <is>
          <t>09:33</t>
        </is>
      </c>
      <c r="D7" s="9" t="inlineStr">
        <is>
          <t>MU</t>
        </is>
      </c>
      <c r="E7" s="9" t="inlineStr">
        <is>
          <t>OPT</t>
        </is>
      </c>
      <c r="F7" s="10" t="n">
        <v>7</v>
      </c>
      <c r="G7" s="11" t="n">
        <v>5.15</v>
      </c>
      <c r="H7" s="10">
        <f>IF(F7*G7=0,"",ROUND(I7/(F7*G7),0))</f>
        <v/>
      </c>
      <c r="I7" s="12" t="n">
        <v>3605</v>
      </c>
      <c r="J7" s="12" t="n">
        <v>3250.16</v>
      </c>
      <c r="K7" s="12">
        <f>I7-J7</f>
        <v/>
      </c>
      <c r="L7" s="11">
        <f>IF(OR(F7=0,H7=""),"",K7/(F7*H7))</f>
        <v/>
      </c>
      <c r="M7" s="13">
        <f>IF(K7=0,"",J7/K7)</f>
        <v/>
      </c>
      <c r="N7" s="10" t="n">
        <v>119.1</v>
      </c>
      <c r="O7" s="11" t="n">
        <v>1.97</v>
      </c>
    </row>
    <row r="8">
      <c r="A8" s="2" t="n">
        <v>46258</v>
      </c>
      <c r="B8" s="3" t="inlineStr">
        <is>
          <t>שני</t>
        </is>
      </c>
      <c r="C8" s="3" t="inlineStr">
        <is>
          <t>09:35</t>
        </is>
      </c>
      <c r="D8" s="3" t="inlineStr">
        <is>
          <t>MRNA</t>
        </is>
      </c>
      <c r="E8" s="3" t="inlineStr">
        <is>
          <t>OPT</t>
        </is>
      </c>
      <c r="F8" s="4" t="n">
        <v>11</v>
      </c>
      <c r="G8" s="5" t="n">
        <v>0.3</v>
      </c>
      <c r="H8" s="4">
        <f>IF(F8*G8=0,"",ROUND(I8/(F8*G8),0))</f>
        <v/>
      </c>
      <c r="I8" s="6" t="n">
        <v>330</v>
      </c>
      <c r="J8" s="6" t="n">
        <v>-830.77</v>
      </c>
      <c r="K8" s="6">
        <f>I8-J8</f>
        <v/>
      </c>
      <c r="L8" s="5">
        <f>IF(OR(F8=0,H8=""),"",K8/(F8*H8))</f>
        <v/>
      </c>
      <c r="M8" s="7">
        <f>IF(K8=0,"",J8/K8)</f>
        <v/>
      </c>
      <c r="N8" s="4" t="n"/>
      <c r="O8" s="5" t="n">
        <v>3.2</v>
      </c>
    </row>
    <row r="9">
      <c r="A9" s="8" t="n">
        <v>46258</v>
      </c>
      <c r="B9" s="9" t="inlineStr">
        <is>
          <t>שני</t>
        </is>
      </c>
      <c r="C9" s="9" t="inlineStr">
        <is>
          <t>09:40</t>
        </is>
      </c>
      <c r="D9" s="9" t="inlineStr">
        <is>
          <t>MU</t>
        </is>
      </c>
      <c r="E9" s="9" t="inlineStr">
        <is>
          <t>OPT</t>
        </is>
      </c>
      <c r="F9" s="10" t="n">
        <v>3</v>
      </c>
      <c r="G9" s="11" t="n">
        <v>7</v>
      </c>
      <c r="H9" s="10">
        <f>IF(F9*G9=0,"",ROUND(I9/(F9*G9),0))</f>
        <v/>
      </c>
      <c r="I9" s="12" t="n">
        <v>2100</v>
      </c>
      <c r="J9" s="12" t="n">
        <v>1947.91</v>
      </c>
      <c r="K9" s="12">
        <f>I9-J9</f>
        <v/>
      </c>
      <c r="L9" s="11">
        <f>IF(OR(F9=0,H9=""),"",K9/(F9*H9))</f>
        <v/>
      </c>
      <c r="M9" s="13">
        <f>IF(K9=0,"",J9/K9)</f>
        <v/>
      </c>
      <c r="N9" s="10" t="n"/>
      <c r="O9" s="11" t="n">
        <v>0.86</v>
      </c>
    </row>
    <row r="10">
      <c r="A10" s="2" t="n">
        <v>46258</v>
      </c>
      <c r="B10" s="3" t="inlineStr">
        <is>
          <t>שני</t>
        </is>
      </c>
      <c r="C10" s="3" t="inlineStr">
        <is>
          <t>09:48</t>
        </is>
      </c>
      <c r="D10" s="3" t="inlineStr">
        <is>
          <t>NVDA</t>
        </is>
      </c>
      <c r="E10" s="3" t="inlineStr">
        <is>
          <t>OPT</t>
        </is>
      </c>
      <c r="F10" s="4" t="n">
        <v>55</v>
      </c>
      <c r="G10" s="5" t="n">
        <v>0.47</v>
      </c>
      <c r="H10" s="4">
        <f>IF(F10*G10=0,"",ROUND(I10/(F10*G10),0))</f>
        <v/>
      </c>
      <c r="I10" s="6" t="n">
        <v>2585</v>
      </c>
      <c r="J10" s="6" t="n">
        <v>339.23</v>
      </c>
      <c r="K10" s="6">
        <f>I10-J10</f>
        <v/>
      </c>
      <c r="L10" s="5">
        <f>IF(OR(F10=0,H10=""),"",K10/(F10*H10))</f>
        <v/>
      </c>
      <c r="M10" s="7">
        <f>IF(K10=0,"",J10/K10)</f>
        <v/>
      </c>
      <c r="N10" s="4" t="n">
        <v>5.2</v>
      </c>
      <c r="O10" s="5" t="n">
        <v>28.94</v>
      </c>
    </row>
    <row r="11">
      <c r="A11" s="8" t="n">
        <v>46258</v>
      </c>
      <c r="B11" s="9" t="inlineStr">
        <is>
          <t>שני</t>
        </is>
      </c>
      <c r="C11" s="9" t="inlineStr">
        <is>
          <t>09:52</t>
        </is>
      </c>
      <c r="D11" s="9" t="inlineStr">
        <is>
          <t>MU</t>
        </is>
      </c>
      <c r="E11" s="9" t="inlineStr">
        <is>
          <t>OPT</t>
        </is>
      </c>
      <c r="F11" s="10" t="n">
        <v>5</v>
      </c>
      <c r="G11" s="11" t="n">
        <v>10</v>
      </c>
      <c r="H11" s="10">
        <f>IF(F11*G11=0,"",ROUND(I11/(F11*G11),0))</f>
        <v/>
      </c>
      <c r="I11" s="12" t="n">
        <v>5000</v>
      </c>
      <c r="J11" s="12" t="n">
        <v>4746.49</v>
      </c>
      <c r="K11" s="12">
        <f>I11-J11</f>
        <v/>
      </c>
      <c r="L11" s="11">
        <f>IF(OR(F11=0,H11=""),"",K11/(F11*H11))</f>
        <v/>
      </c>
      <c r="M11" s="13">
        <f>IF(K11=0,"",J11/K11)</f>
        <v/>
      </c>
      <c r="N11" s="10" t="n"/>
      <c r="O11" s="11" t="n">
        <v>1.46</v>
      </c>
    </row>
    <row r="12">
      <c r="A12" s="2" t="n">
        <v>46258</v>
      </c>
      <c r="B12" s="3" t="inlineStr">
        <is>
          <t>שני</t>
        </is>
      </c>
      <c r="C12" s="3" t="inlineStr">
        <is>
          <t>10:12</t>
        </is>
      </c>
      <c r="D12" s="3" t="inlineStr">
        <is>
          <t>GC</t>
        </is>
      </c>
      <c r="E12" s="3" t="inlineStr">
        <is>
          <t>FOP</t>
        </is>
      </c>
      <c r="F12" s="4" t="n">
        <v>5</v>
      </c>
      <c r="G12" s="5" t="n">
        <v>2.7</v>
      </c>
      <c r="H12" s="4">
        <f>IF(F12*G12=0,"",ROUND(I12/(F12*G12),0))</f>
        <v/>
      </c>
      <c r="I12" s="6" t="n">
        <v>1350</v>
      </c>
      <c r="J12" s="6" t="n">
        <v>-1275.1</v>
      </c>
      <c r="K12" s="6">
        <f>I12-J12</f>
        <v/>
      </c>
      <c r="L12" s="5">
        <f>IF(OR(F12=0,H12=""),"",K12/(F12*H12))</f>
        <v/>
      </c>
      <c r="M12" s="7">
        <f>IF(K12=0,"",J12/K12)</f>
        <v/>
      </c>
      <c r="N12" s="4" t="n">
        <v>63.6</v>
      </c>
      <c r="O12" s="5" t="n">
        <v>12.55</v>
      </c>
    </row>
    <row r="13">
      <c r="A13" s="8" t="n">
        <v>46258</v>
      </c>
      <c r="B13" s="9" t="inlineStr">
        <is>
          <t>שני</t>
        </is>
      </c>
      <c r="C13" s="9" t="inlineStr">
        <is>
          <t>10:14</t>
        </is>
      </c>
      <c r="D13" s="9" t="inlineStr">
        <is>
          <t>ANET</t>
        </is>
      </c>
      <c r="E13" s="9" t="inlineStr">
        <is>
          <t>OPT</t>
        </is>
      </c>
      <c r="F13" s="10" t="n">
        <v>46</v>
      </c>
      <c r="G13" s="11" t="n">
        <v>0.12</v>
      </c>
      <c r="H13" s="10">
        <f>IF(F13*G13=0,"",ROUND(I13/(F13*G13),0))</f>
        <v/>
      </c>
      <c r="I13" s="12" t="n">
        <v>552</v>
      </c>
      <c r="J13" s="12" t="n">
        <v>-1409.28</v>
      </c>
      <c r="K13" s="12">
        <f>I13-J13</f>
        <v/>
      </c>
      <c r="L13" s="11">
        <f>IF(OR(F13=0,H13=""),"",K13/(F13*H13))</f>
        <v/>
      </c>
      <c r="M13" s="13">
        <f>IF(K13=0,"",J13/K13)</f>
        <v/>
      </c>
      <c r="N13" s="10" t="n"/>
      <c r="O13" s="11" t="n">
        <v>22.02</v>
      </c>
    </row>
    <row r="14">
      <c r="A14" s="2" t="n">
        <v>46258</v>
      </c>
      <c r="B14" s="3" t="inlineStr">
        <is>
          <t>שני</t>
        </is>
      </c>
      <c r="C14" s="3" t="inlineStr">
        <is>
          <t>10:14</t>
        </is>
      </c>
      <c r="D14" s="3" t="inlineStr">
        <is>
          <t>ANET</t>
        </is>
      </c>
      <c r="E14" s="3" t="inlineStr">
        <is>
          <t>OPT</t>
        </is>
      </c>
      <c r="F14" s="4" t="n">
        <v>5</v>
      </c>
      <c r="G14" s="5" t="n">
        <v>0.11</v>
      </c>
      <c r="H14" s="4">
        <f>IF(F14*G14=0,"",ROUND(I14/(F14*G14),0))</f>
        <v/>
      </c>
      <c r="I14" s="6" t="n">
        <v>55</v>
      </c>
      <c r="J14" s="6" t="n">
        <v>-156.73</v>
      </c>
      <c r="K14" s="6">
        <f>I14-J14</f>
        <v/>
      </c>
      <c r="L14" s="5">
        <f>IF(OR(F14=0,H14=""),"",K14/(F14*H14))</f>
        <v/>
      </c>
      <c r="M14" s="7">
        <f>IF(K14=0,"",J14/K14)</f>
        <v/>
      </c>
      <c r="N14" s="4" t="n"/>
      <c r="O14" s="5" t="n">
        <v>0.9399999999999999</v>
      </c>
    </row>
    <row r="15">
      <c r="A15" s="8" t="n">
        <v>46258</v>
      </c>
      <c r="B15" s="9" t="inlineStr">
        <is>
          <t>שני</t>
        </is>
      </c>
      <c r="C15" s="9" t="inlineStr">
        <is>
          <t>10:21</t>
        </is>
      </c>
      <c r="D15" s="9" t="inlineStr">
        <is>
          <t>MU</t>
        </is>
      </c>
      <c r="E15" s="9" t="inlineStr">
        <is>
          <t>OPT</t>
        </is>
      </c>
      <c r="F15" s="10" t="n">
        <v>15</v>
      </c>
      <c r="G15" s="11" t="n">
        <v>8.1</v>
      </c>
      <c r="H15" s="10">
        <f>IF(F15*G15=0,"",ROUND(I15/(F15*G15),0))</f>
        <v/>
      </c>
      <c r="I15" s="12" t="n">
        <v>12150</v>
      </c>
      <c r="J15" s="12" t="n">
        <v>11385.42</v>
      </c>
      <c r="K15" s="12">
        <f>I15-J15</f>
        <v/>
      </c>
      <c r="L15" s="11">
        <f>IF(OR(F15=0,H15=""),"",K15/(F15*H15))</f>
        <v/>
      </c>
      <c r="M15" s="13">
        <f>IF(K15=0,"",J15/K15)</f>
        <v/>
      </c>
      <c r="N15" s="10" t="n"/>
      <c r="O15" s="11" t="n">
        <v>8.42</v>
      </c>
    </row>
    <row r="16">
      <c r="A16" s="2" t="n">
        <v>46258</v>
      </c>
      <c r="B16" s="3" t="inlineStr">
        <is>
          <t>שני</t>
        </is>
      </c>
      <c r="C16" s="3" t="inlineStr">
        <is>
          <t>10:21</t>
        </is>
      </c>
      <c r="D16" s="3" t="inlineStr">
        <is>
          <t>QQQ</t>
        </is>
      </c>
      <c r="E16" s="3" t="inlineStr">
        <is>
          <t>OPT</t>
        </is>
      </c>
      <c r="F16" s="4" t="n">
        <v>80</v>
      </c>
      <c r="G16" s="5" t="n">
        <v>0.14</v>
      </c>
      <c r="H16" s="4">
        <f>IF(F16*G16=0,"",ROUND(I16/(F16*G16),0))</f>
        <v/>
      </c>
      <c r="I16" s="6" t="n">
        <v>1120</v>
      </c>
      <c r="J16" s="6" t="n">
        <v>-928.47</v>
      </c>
      <c r="K16" s="6">
        <f>I16-J16</f>
        <v/>
      </c>
      <c r="L16" s="5">
        <f>IF(OR(F16=0,H16=""),"",K16/(F16*H16))</f>
        <v/>
      </c>
      <c r="M16" s="7">
        <f>IF(K16=0,"",J16/K16)</f>
        <v/>
      </c>
      <c r="N16" s="4" t="n">
        <v>33.7</v>
      </c>
      <c r="O16" s="5" t="n">
        <v>51.66</v>
      </c>
    </row>
    <row r="17">
      <c r="A17" s="8" t="n">
        <v>46258</v>
      </c>
      <c r="B17" s="9" t="inlineStr">
        <is>
          <t>שני</t>
        </is>
      </c>
      <c r="C17" s="9" t="inlineStr">
        <is>
          <t>10:30</t>
        </is>
      </c>
      <c r="D17" s="9" t="inlineStr">
        <is>
          <t>MU</t>
        </is>
      </c>
      <c r="E17" s="9" t="inlineStr">
        <is>
          <t>OPT</t>
        </is>
      </c>
      <c r="F17" s="10" t="n">
        <v>1</v>
      </c>
      <c r="G17" s="11" t="n">
        <v>1.6</v>
      </c>
      <c r="H17" s="10">
        <f>IF(F17*G17=0,"",ROUND(I17/(F17*G17),0))</f>
        <v/>
      </c>
      <c r="I17" s="12" t="n">
        <v>160</v>
      </c>
      <c r="J17" s="12" t="n">
        <v>-86.04000000000001</v>
      </c>
      <c r="K17" s="12">
        <f>I17-J17</f>
        <v/>
      </c>
      <c r="L17" s="11">
        <f>IF(OR(F17=0,H17=""),"",K17/(F17*H17))</f>
        <v/>
      </c>
      <c r="M17" s="13">
        <f>IF(K17=0,"",J17/K17)</f>
        <v/>
      </c>
      <c r="N17" s="10" t="n"/>
      <c r="O17" s="11" t="n">
        <v>0.77</v>
      </c>
    </row>
    <row r="18">
      <c r="A18" s="2" t="n">
        <v>46258</v>
      </c>
      <c r="B18" s="3" t="inlineStr">
        <is>
          <t>שני</t>
        </is>
      </c>
      <c r="C18" s="3" t="inlineStr">
        <is>
          <t>10:32</t>
        </is>
      </c>
      <c r="D18" s="3" t="inlineStr">
        <is>
          <t>MU</t>
        </is>
      </c>
      <c r="E18" s="3" t="inlineStr">
        <is>
          <t>OPT</t>
        </is>
      </c>
      <c r="F18" s="4" t="n">
        <v>2</v>
      </c>
      <c r="G18" s="5" t="n">
        <v>1.03</v>
      </c>
      <c r="H18" s="4">
        <f>IF(F18*G18=0,"",ROUND(I18/(F18*G18),0))</f>
        <v/>
      </c>
      <c r="I18" s="6" t="n">
        <v>206</v>
      </c>
      <c r="J18" s="6" t="n">
        <v>-285.08</v>
      </c>
      <c r="K18" s="6">
        <f>I18-J18</f>
        <v/>
      </c>
      <c r="L18" s="5">
        <f>IF(OR(F18=0,H18=""),"",K18/(F18*H18))</f>
        <v/>
      </c>
      <c r="M18" s="7">
        <f>IF(K18=0,"",J18/K18)</f>
        <v/>
      </c>
      <c r="N18" s="4" t="n"/>
      <c r="O18" s="5" t="n">
        <v>0.55</v>
      </c>
    </row>
    <row r="19">
      <c r="A19" s="8" t="n">
        <v>46258</v>
      </c>
      <c r="B19" s="9" t="inlineStr">
        <is>
          <t>שני</t>
        </is>
      </c>
      <c r="C19" s="9" t="inlineStr">
        <is>
          <t>10:32</t>
        </is>
      </c>
      <c r="D19" s="9" t="inlineStr">
        <is>
          <t>MU</t>
        </is>
      </c>
      <c r="E19" s="9" t="inlineStr">
        <is>
          <t>OPT</t>
        </is>
      </c>
      <c r="F19" s="10" t="n">
        <v>7</v>
      </c>
      <c r="G19" s="11" t="n">
        <v>1.05</v>
      </c>
      <c r="H19" s="10">
        <f>IF(F19*G19=0,"",ROUND(I19/(F19*G19),0))</f>
        <v/>
      </c>
      <c r="I19" s="12" t="n">
        <v>735</v>
      </c>
      <c r="J19" s="12" t="n">
        <v>-983.84</v>
      </c>
      <c r="K19" s="12">
        <f>I19-J19</f>
        <v/>
      </c>
      <c r="L19" s="11">
        <f>IF(OR(F19=0,H19=""),"",K19/(F19*H19))</f>
        <v/>
      </c>
      <c r="M19" s="13">
        <f>IF(K19=0,"",J19/K19)</f>
        <v/>
      </c>
      <c r="N19" s="10" t="n"/>
      <c r="O19" s="11" t="n">
        <v>1.97</v>
      </c>
    </row>
    <row r="20">
      <c r="A20" s="2" t="n">
        <v>46258</v>
      </c>
      <c r="B20" s="3" t="inlineStr">
        <is>
          <t>שני</t>
        </is>
      </c>
      <c r="C20" s="3" t="inlineStr">
        <is>
          <t>10:32</t>
        </is>
      </c>
      <c r="D20" s="3" t="inlineStr">
        <is>
          <t>MU</t>
        </is>
      </c>
      <c r="E20" s="3" t="inlineStr">
        <is>
          <t>OPT</t>
        </is>
      </c>
      <c r="F20" s="4" t="n">
        <v>10</v>
      </c>
      <c r="G20" s="5" t="n">
        <v>1.08</v>
      </c>
      <c r="H20" s="4">
        <f>IF(F20*G20=0,"",ROUND(I20/(F20*G20),0))</f>
        <v/>
      </c>
      <c r="I20" s="6" t="n">
        <v>1080</v>
      </c>
      <c r="J20" s="6" t="n">
        <v>-1375.6</v>
      </c>
      <c r="K20" s="6">
        <f>I20-J20</f>
        <v/>
      </c>
      <c r="L20" s="5">
        <f>IF(OR(F20=0,H20=""),"",K20/(F20*H20))</f>
        <v/>
      </c>
      <c r="M20" s="7">
        <f>IF(K20=0,"",J20/K20)</f>
        <v/>
      </c>
      <c r="N20" s="4" t="n"/>
      <c r="O20" s="5" t="n">
        <v>2.93</v>
      </c>
    </row>
    <row r="21">
      <c r="A21" s="8" t="n">
        <v>46258</v>
      </c>
      <c r="B21" s="9" t="inlineStr">
        <is>
          <t>שני</t>
        </is>
      </c>
      <c r="C21" s="9" t="inlineStr">
        <is>
          <t>11:04</t>
        </is>
      </c>
      <c r="D21" s="9" t="inlineStr">
        <is>
          <t>AAOI</t>
        </is>
      </c>
      <c r="E21" s="9" t="inlineStr">
        <is>
          <t>OPT</t>
        </is>
      </c>
      <c r="F21" s="10" t="n">
        <v>25</v>
      </c>
      <c r="G21" s="11" t="n">
        <v>0.65</v>
      </c>
      <c r="H21" s="10">
        <f>IF(F21*G21=0,"",ROUND(I21/(F21*G21),0))</f>
        <v/>
      </c>
      <c r="I21" s="12" t="n">
        <v>1625</v>
      </c>
      <c r="J21" s="12" t="n">
        <v>-481.53</v>
      </c>
      <c r="K21" s="12">
        <f>I21-J21</f>
        <v/>
      </c>
      <c r="L21" s="11">
        <f>IF(OR(F21=0,H21=""),"",K21/(F21*H21))</f>
        <v/>
      </c>
      <c r="M21" s="13">
        <f>IF(K21=0,"",J21/K21)</f>
        <v/>
      </c>
      <c r="N21" s="10" t="n">
        <v>9.4</v>
      </c>
      <c r="O21" s="11" t="n">
        <v>-2.45</v>
      </c>
    </row>
    <row r="22">
      <c r="A22" s="2" t="n">
        <v>46258</v>
      </c>
      <c r="B22" s="3" t="inlineStr">
        <is>
          <t>שני</t>
        </is>
      </c>
      <c r="C22" s="3" t="inlineStr">
        <is>
          <t>11:13</t>
        </is>
      </c>
      <c r="D22" s="3" t="inlineStr">
        <is>
          <t>MU</t>
        </is>
      </c>
      <c r="E22" s="3" t="inlineStr">
        <is>
          <t>OPT</t>
        </is>
      </c>
      <c r="F22" s="4" t="n">
        <v>25</v>
      </c>
      <c r="G22" s="5" t="n">
        <v>0.49</v>
      </c>
      <c r="H22" s="4">
        <f>IF(F22*G22=0,"",ROUND(I22/(F22*G22),0))</f>
        <v/>
      </c>
      <c r="I22" s="6" t="n">
        <v>1225</v>
      </c>
      <c r="J22" s="6" t="n">
        <v>-662.05</v>
      </c>
      <c r="K22" s="6">
        <f>I22-J22</f>
        <v/>
      </c>
      <c r="L22" s="5">
        <f>IF(OR(F22=0,H22=""),"",K22/(F22*H22))</f>
        <v/>
      </c>
      <c r="M22" s="7">
        <f>IF(K22=0,"",J22/K22)</f>
        <v/>
      </c>
      <c r="N22" s="4" t="n"/>
      <c r="O22" s="5" t="n">
        <v>6.79</v>
      </c>
    </row>
    <row r="23">
      <c r="A23" s="8" t="n">
        <v>46258</v>
      </c>
      <c r="B23" s="9" t="inlineStr">
        <is>
          <t>שני</t>
        </is>
      </c>
      <c r="C23" s="9" t="inlineStr">
        <is>
          <t>11:29</t>
        </is>
      </c>
      <c r="D23" s="9" t="inlineStr">
        <is>
          <t>MU</t>
        </is>
      </c>
      <c r="E23" s="9" t="inlineStr">
        <is>
          <t>OPT</t>
        </is>
      </c>
      <c r="F23" s="10" t="n">
        <v>20</v>
      </c>
      <c r="G23" s="11" t="n">
        <v>0.33</v>
      </c>
      <c r="H23" s="10">
        <f>IF(F23*G23=0,"",ROUND(I23/(F23*G23),0))</f>
        <v/>
      </c>
      <c r="I23" s="12" t="n">
        <v>660</v>
      </c>
      <c r="J23" s="12" t="n">
        <v>-1151.05</v>
      </c>
      <c r="K23" s="12">
        <f>I23-J23</f>
        <v/>
      </c>
      <c r="L23" s="11">
        <f>IF(OR(F23=0,H23=""),"",K23/(F23*H23))</f>
        <v/>
      </c>
      <c r="M23" s="13">
        <f>IF(K23=0,"",J23/K23)</f>
        <v/>
      </c>
      <c r="N23" s="10" t="n"/>
      <c r="O23" s="11" t="n">
        <v>5.43</v>
      </c>
    </row>
    <row r="24">
      <c r="A24" s="2" t="n">
        <v>46258</v>
      </c>
      <c r="B24" s="3" t="inlineStr">
        <is>
          <t>שני</t>
        </is>
      </c>
      <c r="C24" s="3" t="inlineStr">
        <is>
          <t>12:40</t>
        </is>
      </c>
      <c r="D24" s="3" t="inlineStr">
        <is>
          <t>CRM</t>
        </is>
      </c>
      <c r="E24" s="3" t="inlineStr">
        <is>
          <t>OPT</t>
        </is>
      </c>
      <c r="F24" s="4" t="n">
        <v>70</v>
      </c>
      <c r="G24" s="5" t="n">
        <v>0.16</v>
      </c>
      <c r="H24" s="4">
        <f>IF(F24*G24=0,"",ROUND(I24/(F24*G24),0))</f>
        <v/>
      </c>
      <c r="I24" s="6" t="n">
        <v>1120</v>
      </c>
      <c r="J24" s="6" t="n">
        <v>-947.6799999999999</v>
      </c>
      <c r="K24" s="6">
        <f>I24-J24</f>
        <v/>
      </c>
      <c r="L24" s="5">
        <f>IF(OR(F24=0,H24=""),"",K24/(F24*H24))</f>
        <v/>
      </c>
      <c r="M24" s="7">
        <f>IF(K24=0,"",J24/K24)</f>
        <v/>
      </c>
      <c r="N24" s="4" t="n">
        <v>120</v>
      </c>
      <c r="O24" s="5" t="n">
        <v>18.96</v>
      </c>
    </row>
    <row r="25">
      <c r="A25" s="8" t="n">
        <v>46258</v>
      </c>
      <c r="B25" s="9" t="inlineStr">
        <is>
          <t>שני</t>
        </is>
      </c>
      <c r="C25" s="9" t="inlineStr">
        <is>
          <t>12:46</t>
        </is>
      </c>
      <c r="D25" s="9" t="inlineStr">
        <is>
          <t>MU</t>
        </is>
      </c>
      <c r="E25" s="9" t="inlineStr">
        <is>
          <t>OPT</t>
        </is>
      </c>
      <c r="F25" s="10" t="n">
        <v>18</v>
      </c>
      <c r="G25" s="11" t="n">
        <v>0.68</v>
      </c>
      <c r="H25" s="10">
        <f>IF(F25*G25=0,"",ROUND(I25/(F25*G25),0))</f>
        <v/>
      </c>
      <c r="I25" s="12" t="n">
        <v>1224</v>
      </c>
      <c r="J25" s="12" t="n">
        <v>-793.97</v>
      </c>
      <c r="K25" s="12">
        <f>I25-J25</f>
        <v/>
      </c>
      <c r="L25" s="11">
        <f>IF(OR(F25=0,H25=""),"",K25/(F25*H25))</f>
        <v/>
      </c>
      <c r="M25" s="13">
        <f>IF(K25=0,"",J25/K25)</f>
        <v/>
      </c>
      <c r="N25" s="10" t="n"/>
      <c r="O25" s="11" t="n">
        <v>4.9</v>
      </c>
    </row>
    <row r="26">
      <c r="A26" s="2" t="n">
        <v>46258</v>
      </c>
      <c r="B26" s="3" t="inlineStr">
        <is>
          <t>שני</t>
        </is>
      </c>
      <c r="C26" s="3" t="inlineStr">
        <is>
          <t>13:08</t>
        </is>
      </c>
      <c r="D26" s="3" t="inlineStr">
        <is>
          <t>CL</t>
        </is>
      </c>
      <c r="E26" s="3" t="inlineStr">
        <is>
          <t>FOP</t>
        </is>
      </c>
      <c r="F26" s="4" t="n">
        <v>20</v>
      </c>
      <c r="G26" s="5" t="n">
        <v>0.09</v>
      </c>
      <c r="H26" s="4">
        <f>IF(F26*G26=0,"",ROUND(I26/(F26*G26),0))</f>
        <v/>
      </c>
      <c r="I26" s="6" t="n">
        <v>1800</v>
      </c>
      <c r="J26" s="6" t="n">
        <v>-1964.4</v>
      </c>
      <c r="K26" s="6">
        <f>I26-J26</f>
        <v/>
      </c>
      <c r="L26" s="5">
        <f>IF(OR(F26=0,H26=""),"",K26/(F26*H26))</f>
        <v/>
      </c>
      <c r="M26" s="7">
        <f>IF(K26=0,"",J26/K26)</f>
        <v/>
      </c>
      <c r="N26" s="4" t="n">
        <v>129.9</v>
      </c>
      <c r="O26" s="5" t="n">
        <v>47.2</v>
      </c>
    </row>
    <row r="27">
      <c r="A27" s="8" t="n">
        <v>46258</v>
      </c>
      <c r="B27" s="9" t="inlineStr">
        <is>
          <t>שני</t>
        </is>
      </c>
      <c r="C27" s="9" t="inlineStr">
        <is>
          <t>13:13</t>
        </is>
      </c>
      <c r="D27" s="9" t="inlineStr">
        <is>
          <t>MU</t>
        </is>
      </c>
      <c r="E27" s="9" t="inlineStr">
        <is>
          <t>OPT</t>
        </is>
      </c>
      <c r="F27" s="10" t="n">
        <v>18</v>
      </c>
      <c r="G27" s="11" t="n">
        <v>0.67</v>
      </c>
      <c r="H27" s="10">
        <f>IF(F27*G27=0,"",ROUND(I27/(F27*G27),0))</f>
        <v/>
      </c>
      <c r="I27" s="12" t="n">
        <v>1206</v>
      </c>
      <c r="J27" s="12" t="n">
        <v>-495.71</v>
      </c>
      <c r="K27" s="12">
        <f>I27-J27</f>
        <v/>
      </c>
      <c r="L27" s="11">
        <f>IF(OR(F27=0,H27=""),"",K27/(F27*H27))</f>
        <v/>
      </c>
      <c r="M27" s="13">
        <f>IF(K27=0,"",J27/K27)</f>
        <v/>
      </c>
      <c r="N27" s="10" t="n"/>
      <c r="O27" s="11" t="n">
        <v>4.9</v>
      </c>
    </row>
    <row r="28">
      <c r="A28" s="2" t="n">
        <v>46258</v>
      </c>
      <c r="B28" s="3" t="inlineStr">
        <is>
          <t>שני</t>
        </is>
      </c>
      <c r="C28" s="3" t="inlineStr">
        <is>
          <t>13:14</t>
        </is>
      </c>
      <c r="D28" s="3" t="inlineStr">
        <is>
          <t>AMZN</t>
        </is>
      </c>
      <c r="E28" s="3" t="inlineStr">
        <is>
          <t>OPT</t>
        </is>
      </c>
      <c r="F28" s="4" t="n">
        <v>50</v>
      </c>
      <c r="G28" s="5" t="n">
        <v>0.42</v>
      </c>
      <c r="H28" s="4">
        <f>IF(F28*G28=0,"",ROUND(I28/(F28*G28),0))</f>
        <v/>
      </c>
      <c r="I28" s="6" t="n">
        <v>2100</v>
      </c>
      <c r="J28" s="6" t="n">
        <v>87.31999999999999</v>
      </c>
      <c r="K28" s="6">
        <f>I28-J28</f>
        <v/>
      </c>
      <c r="L28" s="5">
        <f>IF(OR(F28=0,H28=""),"",K28/(F28*H28))</f>
        <v/>
      </c>
      <c r="M28" s="7">
        <f>IF(K28=0,"",J28/K28)</f>
        <v/>
      </c>
      <c r="N28" s="4" t="n">
        <v>157</v>
      </c>
      <c r="O28" s="5" t="n">
        <v>8.49</v>
      </c>
    </row>
    <row r="29">
      <c r="A29" s="8" t="n">
        <v>46258</v>
      </c>
      <c r="B29" s="9" t="inlineStr">
        <is>
          <t>שני</t>
        </is>
      </c>
      <c r="C29" s="9" t="inlineStr">
        <is>
          <t>14:13</t>
        </is>
      </c>
      <c r="D29" s="9" t="inlineStr">
        <is>
          <t>MU</t>
        </is>
      </c>
      <c r="E29" s="9" t="inlineStr">
        <is>
          <t>OPT</t>
        </is>
      </c>
      <c r="F29" s="10" t="n">
        <v>33</v>
      </c>
      <c r="G29" s="11" t="n">
        <v>0.36</v>
      </c>
      <c r="H29" s="10">
        <f>IF(F29*G29=0,"",ROUND(I29/(F29*G29),0))</f>
        <v/>
      </c>
      <c r="I29" s="12" t="n">
        <v>1188</v>
      </c>
      <c r="J29" s="12" t="n">
        <v>-488.37</v>
      </c>
      <c r="K29" s="12">
        <f>I29-J29</f>
        <v/>
      </c>
      <c r="L29" s="11">
        <f>IF(OR(F29=0,H29=""),"",K29/(F29*H29))</f>
        <v/>
      </c>
      <c r="M29" s="13">
        <f>IF(K29=0,"",J29/K29)</f>
        <v/>
      </c>
      <c r="N29" s="10" t="n">
        <v>6.5</v>
      </c>
      <c r="O29" s="11" t="n">
        <v>14.06</v>
      </c>
    </row>
    <row r="30">
      <c r="A30" s="2" t="n">
        <v>46258</v>
      </c>
      <c r="B30" s="3" t="inlineStr">
        <is>
          <t>שני</t>
        </is>
      </c>
      <c r="C30" s="3" t="inlineStr">
        <is>
          <t>14:36</t>
        </is>
      </c>
      <c r="D30" s="3" t="inlineStr">
        <is>
          <t>MU</t>
        </is>
      </c>
      <c r="E30" s="3" t="inlineStr">
        <is>
          <t>OPT</t>
        </is>
      </c>
      <c r="F30" s="4" t="n">
        <v>1</v>
      </c>
      <c r="G30" s="5" t="n">
        <v>0.5</v>
      </c>
      <c r="H30" s="4">
        <f>IF(F30*G30=0,"",ROUND(I30/(F30*G30),0))</f>
        <v/>
      </c>
      <c r="I30" s="6" t="n">
        <v>50</v>
      </c>
      <c r="J30" s="6" t="n">
        <v>-21.7</v>
      </c>
      <c r="K30" s="6">
        <f>I30-J30</f>
        <v/>
      </c>
      <c r="L30" s="5">
        <f>IF(OR(F30=0,H30=""),"",K30/(F30*H30))</f>
        <v/>
      </c>
      <c r="M30" s="7">
        <f>IF(K30=0,"",J30/K30)</f>
        <v/>
      </c>
      <c r="N30" s="4" t="n"/>
      <c r="O30" s="5" t="n">
        <v>0.79</v>
      </c>
    </row>
    <row r="31">
      <c r="A31" s="8" t="n">
        <v>46258</v>
      </c>
      <c r="B31" s="9" t="inlineStr">
        <is>
          <t>שני</t>
        </is>
      </c>
      <c r="C31" s="9" t="inlineStr">
        <is>
          <t>14:37</t>
        </is>
      </c>
      <c r="D31" s="9" t="inlineStr">
        <is>
          <t>MU</t>
        </is>
      </c>
      <c r="E31" s="9" t="inlineStr">
        <is>
          <t>OPT</t>
        </is>
      </c>
      <c r="F31" s="10" t="n">
        <v>1</v>
      </c>
      <c r="G31" s="11" t="n">
        <v>0.39</v>
      </c>
      <c r="H31" s="10">
        <f>IF(F31*G31=0,"",ROUND(I31/(F31*G31),0))</f>
        <v/>
      </c>
      <c r="I31" s="12" t="n">
        <v>39</v>
      </c>
      <c r="J31" s="12" t="n">
        <v>-32.26</v>
      </c>
      <c r="K31" s="12">
        <f>I31-J31</f>
        <v/>
      </c>
      <c r="L31" s="11">
        <f>IF(OR(F31=0,H31=""),"",K31/(F31*H31))</f>
        <v/>
      </c>
      <c r="M31" s="13">
        <f>IF(K31=0,"",J31/K31)</f>
        <v/>
      </c>
      <c r="N31" s="10" t="n"/>
      <c r="O31" s="11" t="n">
        <v>0.35</v>
      </c>
    </row>
    <row r="32">
      <c r="A32" s="2" t="n">
        <v>46258</v>
      </c>
      <c r="B32" s="3" t="inlineStr">
        <is>
          <t>שני</t>
        </is>
      </c>
      <c r="C32" s="3" t="inlineStr">
        <is>
          <t>14:37</t>
        </is>
      </c>
      <c r="D32" s="3" t="inlineStr">
        <is>
          <t>MU</t>
        </is>
      </c>
      <c r="E32" s="3" t="inlineStr">
        <is>
          <t>OPT</t>
        </is>
      </c>
      <c r="F32" s="4" t="n">
        <v>28</v>
      </c>
      <c r="G32" s="5" t="n">
        <v>0.4</v>
      </c>
      <c r="H32" s="4">
        <f>IF(F32*G32=0,"",ROUND(I32/(F32*G32),0))</f>
        <v/>
      </c>
      <c r="I32" s="6" t="n">
        <v>1120</v>
      </c>
      <c r="J32" s="6" t="n">
        <v>-873.6900000000001</v>
      </c>
      <c r="K32" s="6">
        <f>I32-J32</f>
        <v/>
      </c>
      <c r="L32" s="5">
        <f>IF(OR(F32=0,H32=""),"",K32/(F32*H32))</f>
        <v/>
      </c>
      <c r="M32" s="7">
        <f>IF(K32=0,"",J32/K32)</f>
        <v/>
      </c>
      <c r="N32" s="4" t="n"/>
      <c r="O32" s="5" t="n">
        <v>8.17</v>
      </c>
    </row>
    <row r="33">
      <c r="A33" s="8" t="n">
        <v>46258</v>
      </c>
      <c r="B33" s="9" t="inlineStr">
        <is>
          <t>שני</t>
        </is>
      </c>
      <c r="C33" s="9" t="inlineStr">
        <is>
          <t>15:19</t>
        </is>
      </c>
      <c r="D33" s="9" t="inlineStr">
        <is>
          <t>CRM</t>
        </is>
      </c>
      <c r="E33" s="9" t="inlineStr">
        <is>
          <t>OPT</t>
        </is>
      </c>
      <c r="F33" s="10" t="n">
        <v>2</v>
      </c>
      <c r="G33" s="11" t="n">
        <v>0.12</v>
      </c>
      <c r="H33" s="10">
        <f>IF(F33*G33=0,"",ROUND(I33/(F33*G33),0))</f>
        <v/>
      </c>
      <c r="I33" s="12" t="n">
        <v>24</v>
      </c>
      <c r="J33" s="12" t="n">
        <v>-4.91</v>
      </c>
      <c r="K33" s="12">
        <f>I33-J33</f>
        <v/>
      </c>
      <c r="L33" s="11">
        <f>IF(OR(F33=0,H33=""),"",K33/(F33*H33))</f>
        <v/>
      </c>
      <c r="M33" s="13">
        <f>IF(K33=0,"",J33/K33)</f>
        <v/>
      </c>
      <c r="N33" s="10" t="n">
        <v>1.8</v>
      </c>
      <c r="O33" s="11" t="n">
        <v>0.54</v>
      </c>
    </row>
    <row r="34">
      <c r="A34" s="2" t="n">
        <v>46259</v>
      </c>
      <c r="B34" s="3" t="inlineStr">
        <is>
          <t>שלישי</t>
        </is>
      </c>
      <c r="C34" s="3" t="inlineStr">
        <is>
          <t>09:55</t>
        </is>
      </c>
      <c r="D34" s="3" t="inlineStr">
        <is>
          <t>MSTR</t>
        </is>
      </c>
      <c r="E34" s="3" t="inlineStr">
        <is>
          <t>OPT</t>
        </is>
      </c>
      <c r="F34" s="4" t="n">
        <v>45</v>
      </c>
      <c r="G34" s="5" t="n">
        <v>0.19</v>
      </c>
      <c r="H34" s="4">
        <f>IF(F34*G34=0,"",ROUND(I34/(F34*G34),0))</f>
        <v/>
      </c>
      <c r="I34" s="6" t="n">
        <v>855</v>
      </c>
      <c r="J34" s="6" t="n">
        <v>-977.62</v>
      </c>
      <c r="K34" s="6">
        <f>I34-J34</f>
        <v/>
      </c>
      <c r="L34" s="5">
        <f>IF(OR(F34=0,H34=""),"",K34/(F34*H34))</f>
        <v/>
      </c>
      <c r="M34" s="7">
        <f>IF(K34=0,"",J34/K34)</f>
        <v/>
      </c>
      <c r="N34" s="4" t="n">
        <v>1177.2</v>
      </c>
      <c r="O34" s="5" t="n">
        <v>20.59</v>
      </c>
    </row>
    <row r="35">
      <c r="A35" s="8" t="n">
        <v>46259</v>
      </c>
      <c r="B35" s="9" t="inlineStr">
        <is>
          <t>שלישי</t>
        </is>
      </c>
      <c r="C35" s="9" t="inlineStr">
        <is>
          <t>09:58</t>
        </is>
      </c>
      <c r="D35" s="9" t="inlineStr">
        <is>
          <t>QQQ</t>
        </is>
      </c>
      <c r="E35" s="9" t="inlineStr">
        <is>
          <t>OPT</t>
        </is>
      </c>
      <c r="F35" s="10" t="n">
        <v>60</v>
      </c>
      <c r="G35" s="11" t="n">
        <v>0.14</v>
      </c>
      <c r="H35" s="10">
        <f>IF(F35*G35=0,"",ROUND(I35/(F35*G35),0))</f>
        <v/>
      </c>
      <c r="I35" s="12" t="n">
        <v>840</v>
      </c>
      <c r="J35" s="12" t="n">
        <v>-1192.9</v>
      </c>
      <c r="K35" s="12">
        <f>I35-J35</f>
        <v/>
      </c>
      <c r="L35" s="11">
        <f>IF(OR(F35=0,H35=""),"",K35/(F35*H35))</f>
        <v/>
      </c>
      <c r="M35" s="13">
        <f>IF(K35=0,"",J35/K35)</f>
        <v/>
      </c>
      <c r="N35" s="10" t="n">
        <v>10.6</v>
      </c>
      <c r="O35" s="11" t="n">
        <v>28.4</v>
      </c>
    </row>
    <row r="36">
      <c r="A36" s="2" t="n">
        <v>46259</v>
      </c>
      <c r="B36" s="3" t="inlineStr">
        <is>
          <t>שלישי</t>
        </is>
      </c>
      <c r="C36" s="3" t="inlineStr">
        <is>
          <t>10:03</t>
        </is>
      </c>
      <c r="D36" s="3" t="inlineStr">
        <is>
          <t>AMZN</t>
        </is>
      </c>
      <c r="E36" s="3" t="inlineStr">
        <is>
          <t>OPT</t>
        </is>
      </c>
      <c r="F36" s="4" t="n">
        <v>50</v>
      </c>
      <c r="G36" s="5" t="n">
        <v>0.14</v>
      </c>
      <c r="H36" s="4">
        <f>IF(F36*G36=0,"",ROUND(I36/(F36*G36),0))</f>
        <v/>
      </c>
      <c r="I36" s="6" t="n">
        <v>700</v>
      </c>
      <c r="J36" s="6" t="n">
        <v>-1227.69</v>
      </c>
      <c r="K36" s="6">
        <f>I36-J36</f>
        <v/>
      </c>
      <c r="L36" s="5">
        <f>IF(OR(F36=0,H36=""),"",K36/(F36*H36))</f>
        <v/>
      </c>
      <c r="M36" s="7">
        <f>IF(K36=0,"",J36/K36)</f>
        <v/>
      </c>
      <c r="N36" s="4" t="n">
        <v>1090.1</v>
      </c>
      <c r="O36" s="5" t="n">
        <v>6.57</v>
      </c>
    </row>
    <row r="37">
      <c r="A37" s="8" t="n">
        <v>46259</v>
      </c>
      <c r="B37" s="9" t="inlineStr">
        <is>
          <t>שלישי</t>
        </is>
      </c>
      <c r="C37" s="9" t="inlineStr">
        <is>
          <t>10:03</t>
        </is>
      </c>
      <c r="D37" s="9" t="inlineStr">
        <is>
          <t>CRM</t>
        </is>
      </c>
      <c r="E37" s="9" t="inlineStr">
        <is>
          <t>OPT</t>
        </is>
      </c>
      <c r="F37" s="10" t="n">
        <v>10</v>
      </c>
      <c r="G37" s="11" t="n">
        <v>0.53</v>
      </c>
      <c r="H37" s="10">
        <f>IF(F37*G37=0,"",ROUND(I37/(F37*G37),0))</f>
        <v/>
      </c>
      <c r="I37" s="12" t="n">
        <v>530</v>
      </c>
      <c r="J37" s="12" t="n">
        <v>-435.39</v>
      </c>
      <c r="K37" s="12">
        <f>I37-J37</f>
        <v/>
      </c>
      <c r="L37" s="11">
        <f>IF(OR(F37=0,H37=""),"",K37/(F37*H37))</f>
        <v/>
      </c>
      <c r="M37" s="13">
        <f>IF(K37=0,"",J37/K37)</f>
        <v/>
      </c>
      <c r="N37" s="10" t="n">
        <v>1125.9</v>
      </c>
      <c r="O37" s="11" t="n">
        <v>2.72</v>
      </c>
    </row>
    <row r="38">
      <c r="A38" s="2" t="n">
        <v>46259</v>
      </c>
      <c r="B38" s="3" t="inlineStr">
        <is>
          <t>שלישי</t>
        </is>
      </c>
      <c r="C38" s="3" t="inlineStr">
        <is>
          <t>11:05</t>
        </is>
      </c>
      <c r="D38" s="3" t="inlineStr">
        <is>
          <t>SMCI</t>
        </is>
      </c>
      <c r="E38" s="3" t="inlineStr">
        <is>
          <t>OPT</t>
        </is>
      </c>
      <c r="F38" s="4" t="n">
        <v>40</v>
      </c>
      <c r="G38" s="5" t="n">
        <v>0.36</v>
      </c>
      <c r="H38" s="4">
        <f>IF(F38*G38=0,"",ROUND(I38/(F38*G38),0))</f>
        <v/>
      </c>
      <c r="I38" s="6" t="n">
        <v>1440</v>
      </c>
      <c r="J38" s="6" t="n">
        <v>-693.0700000000001</v>
      </c>
      <c r="K38" s="6">
        <f>I38-J38</f>
        <v/>
      </c>
      <c r="L38" s="5">
        <f>IF(OR(F38=0,H38=""),"",K38/(F38*H38))</f>
        <v/>
      </c>
      <c r="M38" s="7">
        <f>IF(K38=0,"",J38/K38)</f>
        <v/>
      </c>
      <c r="N38" s="4" t="n">
        <v>16.2</v>
      </c>
      <c r="O38" s="5" t="n">
        <v>2.37</v>
      </c>
    </row>
    <row r="39">
      <c r="A39" s="8" t="n">
        <v>46259</v>
      </c>
      <c r="B39" s="9" t="inlineStr">
        <is>
          <t>שלישי</t>
        </is>
      </c>
      <c r="C39" s="9" t="inlineStr">
        <is>
          <t>11:16</t>
        </is>
      </c>
      <c r="D39" s="9" t="inlineStr">
        <is>
          <t>ES</t>
        </is>
      </c>
      <c r="E39" s="9" t="inlineStr">
        <is>
          <t>FOP</t>
        </is>
      </c>
      <c r="F39" s="10" t="n">
        <v>17</v>
      </c>
      <c r="G39" s="11" t="n">
        <v>1.4</v>
      </c>
      <c r="H39" s="10">
        <f>IF(F39*G39=0,"",ROUND(I39/(F39*G39),0))</f>
        <v/>
      </c>
      <c r="I39" s="12" t="n">
        <v>1190</v>
      </c>
      <c r="J39" s="12" t="n">
        <v>-621.6900000000001</v>
      </c>
      <c r="K39" s="12">
        <f>I39-J39</f>
        <v/>
      </c>
      <c r="L39" s="11">
        <f>IF(OR(F39=0,H39=""),"",K39/(F39*H39))</f>
        <v/>
      </c>
      <c r="M39" s="13">
        <f>IF(K39=0,"",J39/K39)</f>
        <v/>
      </c>
      <c r="N39" s="10" t="n">
        <v>69.5</v>
      </c>
      <c r="O39" s="11" t="n">
        <v>23.97</v>
      </c>
    </row>
    <row r="40">
      <c r="A40" s="2" t="n">
        <v>46259</v>
      </c>
      <c r="B40" s="3" t="inlineStr">
        <is>
          <t>שלישי</t>
        </is>
      </c>
      <c r="C40" s="3" t="inlineStr">
        <is>
          <t>11:16</t>
        </is>
      </c>
      <c r="D40" s="3" t="inlineStr">
        <is>
          <t>ES</t>
        </is>
      </c>
      <c r="E40" s="3" t="inlineStr">
        <is>
          <t>FOP</t>
        </is>
      </c>
      <c r="F40" s="4" t="n">
        <v>3</v>
      </c>
      <c r="G40" s="5" t="n">
        <v>1.45</v>
      </c>
      <c r="H40" s="4">
        <f>IF(F40*G40=0,"",ROUND(I40/(F40*G40),0))</f>
        <v/>
      </c>
      <c r="I40" s="6" t="n">
        <v>217.5</v>
      </c>
      <c r="J40" s="6" t="n">
        <v>-102.21</v>
      </c>
      <c r="K40" s="6">
        <f>I40-J40</f>
        <v/>
      </c>
      <c r="L40" s="5">
        <f>IF(OR(F40=0,H40=""),"",K40/(F40*H40))</f>
        <v/>
      </c>
      <c r="M40" s="7">
        <f>IF(K40=0,"",J40/K40)</f>
        <v/>
      </c>
      <c r="N40" s="4" t="n">
        <v>72.59999999999999</v>
      </c>
      <c r="O40" s="5" t="n">
        <v>4.23</v>
      </c>
    </row>
    <row r="41">
      <c r="A41" s="8" t="n">
        <v>46259</v>
      </c>
      <c r="B41" s="9" t="inlineStr">
        <is>
          <t>שלישי</t>
        </is>
      </c>
      <c r="C41" s="9" t="inlineStr">
        <is>
          <t>12:20</t>
        </is>
      </c>
      <c r="D41" s="9" t="inlineStr">
        <is>
          <t>MRNA</t>
        </is>
      </c>
      <c r="E41" s="9" t="inlineStr">
        <is>
          <t>OPT</t>
        </is>
      </c>
      <c r="F41" s="10" t="n">
        <v>7</v>
      </c>
      <c r="G41" s="11" t="n">
        <v>1.38</v>
      </c>
      <c r="H41" s="10">
        <f>IF(F41*G41=0,"",ROUND(I41/(F41*G41),0))</f>
        <v/>
      </c>
      <c r="I41" s="12" t="n">
        <v>966</v>
      </c>
      <c r="J41" s="12" t="n">
        <v>-578.35</v>
      </c>
      <c r="K41" s="12">
        <f>I41-J41</f>
        <v/>
      </c>
      <c r="L41" s="11">
        <f>IF(OR(F41=0,H41=""),"",K41/(F41*H41))</f>
        <v/>
      </c>
      <c r="M41" s="13">
        <f>IF(K41=0,"",J41/K41)</f>
        <v/>
      </c>
      <c r="N41" s="10" t="n">
        <v>156.1</v>
      </c>
      <c r="O41" s="11" t="n">
        <v>1.91</v>
      </c>
    </row>
    <row r="42">
      <c r="A42" s="2" t="n">
        <v>46259</v>
      </c>
      <c r="B42" s="3" t="inlineStr">
        <is>
          <t>שלישי</t>
        </is>
      </c>
      <c r="C42" s="3" t="inlineStr">
        <is>
          <t>12:21</t>
        </is>
      </c>
      <c r="D42" s="3" t="inlineStr">
        <is>
          <t>MRNA</t>
        </is>
      </c>
      <c r="E42" s="3" t="inlineStr">
        <is>
          <t>OPT</t>
        </is>
      </c>
      <c r="F42" s="4" t="n">
        <v>20</v>
      </c>
      <c r="G42" s="5" t="n">
        <v>0.37</v>
      </c>
      <c r="H42" s="4">
        <f>IF(F42*G42=0,"",ROUND(I42/(F42*G42),0))</f>
        <v/>
      </c>
      <c r="I42" s="6" t="n">
        <v>740</v>
      </c>
      <c r="J42" s="6" t="n">
        <v>-855</v>
      </c>
      <c r="K42" s="6">
        <f>I42-J42</f>
        <v/>
      </c>
      <c r="L42" s="5">
        <f>IF(OR(F42=0,H42=""),"",K42/(F42*H42))</f>
        <v/>
      </c>
      <c r="M42" s="7">
        <f>IF(K42=0,"",J42/K42)</f>
        <v/>
      </c>
      <c r="N42" s="4" t="n">
        <v>72.8</v>
      </c>
      <c r="O42" s="5" t="n">
        <v>6.38</v>
      </c>
    </row>
    <row r="43">
      <c r="A43" s="8" t="n">
        <v>46259</v>
      </c>
      <c r="B43" s="9" t="inlineStr">
        <is>
          <t>שלישי</t>
        </is>
      </c>
      <c r="C43" s="9" t="inlineStr">
        <is>
          <t>13:04</t>
        </is>
      </c>
      <c r="D43" s="9" t="inlineStr">
        <is>
          <t>TSLA</t>
        </is>
      </c>
      <c r="E43" s="9" t="inlineStr">
        <is>
          <t>OPT</t>
        </is>
      </c>
      <c r="F43" s="10" t="n">
        <v>60</v>
      </c>
      <c r="G43" s="11" t="n">
        <v>0.28</v>
      </c>
      <c r="H43" s="10">
        <f>IF(F43*G43=0,"",ROUND(I43/(F43*G43),0))</f>
        <v/>
      </c>
      <c r="I43" s="12" t="n">
        <v>1680</v>
      </c>
      <c r="J43" s="12" t="n">
        <v>-333.45</v>
      </c>
      <c r="K43" s="12">
        <f>I43-J43</f>
        <v/>
      </c>
      <c r="L43" s="11">
        <f>IF(OR(F43=0,H43=""),"",K43/(F43*H43))</f>
        <v/>
      </c>
      <c r="M43" s="13">
        <f>IF(K43=0,"",J43/K43)</f>
        <v/>
      </c>
      <c r="N43" s="10" t="n">
        <v>22.9</v>
      </c>
      <c r="O43" s="11" t="n">
        <v>17.42</v>
      </c>
    </row>
    <row r="44">
      <c r="A44" s="2" t="n">
        <v>46260</v>
      </c>
      <c r="B44" s="3" t="inlineStr">
        <is>
          <t>רביעי</t>
        </is>
      </c>
      <c r="C44" s="3" t="inlineStr">
        <is>
          <t>10:40</t>
        </is>
      </c>
      <c r="D44" s="3" t="inlineStr">
        <is>
          <t>INTC</t>
        </is>
      </c>
      <c r="E44" s="3" t="inlineStr">
        <is>
          <t>OPT</t>
        </is>
      </c>
      <c r="F44" s="4" t="n">
        <v>125</v>
      </c>
      <c r="G44" s="5" t="n">
        <v>0.05</v>
      </c>
      <c r="H44" s="4">
        <f>IF(F44*G44=0,"",ROUND(I44/(F44*G44),0))</f>
        <v/>
      </c>
      <c r="I44" s="6" t="n">
        <v>625</v>
      </c>
      <c r="J44" s="6" t="n">
        <v>-1120.14</v>
      </c>
      <c r="K44" s="6">
        <f>I44-J44</f>
        <v/>
      </c>
      <c r="L44" s="5">
        <f>IF(OR(F44=0,H44=""),"",K44/(F44*H44))</f>
        <v/>
      </c>
      <c r="M44" s="7">
        <f>IF(K44=0,"",J44/K44)</f>
        <v/>
      </c>
      <c r="N44" s="4" t="n">
        <v>19.5</v>
      </c>
      <c r="O44" s="5" t="n">
        <v>64.38</v>
      </c>
    </row>
    <row r="45">
      <c r="A45" s="8" t="n">
        <v>46260</v>
      </c>
      <c r="B45" s="9" t="inlineStr">
        <is>
          <t>רביעי</t>
        </is>
      </c>
      <c r="C45" s="9" t="inlineStr">
        <is>
          <t>13:39</t>
        </is>
      </c>
      <c r="D45" s="9" t="inlineStr">
        <is>
          <t>NVDA</t>
        </is>
      </c>
      <c r="E45" s="9" t="inlineStr">
        <is>
          <t>OPT</t>
        </is>
      </c>
      <c r="F45" s="10" t="n">
        <v>10</v>
      </c>
      <c r="G45" s="11" t="n">
        <v>0.59</v>
      </c>
      <c r="H45" s="10">
        <f>IF(F45*G45=0,"",ROUND(I45/(F45*G45),0))</f>
        <v/>
      </c>
      <c r="I45" s="12" t="n">
        <v>590</v>
      </c>
      <c r="J45" s="12" t="n">
        <v>-23.38</v>
      </c>
      <c r="K45" s="12">
        <f>I45-J45</f>
        <v/>
      </c>
      <c r="L45" s="11">
        <f>IF(OR(F45=0,H45=""),"",K45/(F45*H45))</f>
        <v/>
      </c>
      <c r="M45" s="13">
        <f>IF(K45=0,"",J45/K45)</f>
        <v/>
      </c>
      <c r="N45" s="10" t="n">
        <v>59.2</v>
      </c>
      <c r="O45" s="11" t="n">
        <v>2.14</v>
      </c>
    </row>
    <row r="46">
      <c r="A46" s="2" t="n">
        <v>46260</v>
      </c>
      <c r="B46" s="3" t="inlineStr">
        <is>
          <t>רביעי</t>
        </is>
      </c>
      <c r="C46" s="3" t="inlineStr">
        <is>
          <t>13:49</t>
        </is>
      </c>
      <c r="D46" s="3" t="inlineStr">
        <is>
          <t>NU</t>
        </is>
      </c>
      <c r="E46" s="3" t="inlineStr">
        <is>
          <t>OPT</t>
        </is>
      </c>
      <c r="F46" s="4" t="n">
        <v>50</v>
      </c>
      <c r="G46" s="5" t="n">
        <v>0.11</v>
      </c>
      <c r="H46" s="4">
        <f>IF(F46*G46=0,"",ROUND(I46/(F46*G46),0))</f>
        <v/>
      </c>
      <c r="I46" s="6" t="n">
        <v>550</v>
      </c>
      <c r="J46" s="6" t="n">
        <v>151.43</v>
      </c>
      <c r="K46" s="6">
        <f>I46-J46</f>
        <v/>
      </c>
      <c r="L46" s="5">
        <f>IF(OR(F46=0,H46=""),"",K46/(F46*H46))</f>
        <v/>
      </c>
      <c r="M46" s="7">
        <f>IF(K46=0,"",J46/K46)</f>
        <v/>
      </c>
      <c r="N46" s="4" t="n">
        <v>1381</v>
      </c>
      <c r="O46" s="5" t="n">
        <v>26.48</v>
      </c>
    </row>
    <row r="47">
      <c r="A47" s="8" t="n">
        <v>46260</v>
      </c>
      <c r="B47" s="9" t="inlineStr">
        <is>
          <t>רביעי</t>
        </is>
      </c>
      <c r="C47" s="9" t="inlineStr">
        <is>
          <t>13:51</t>
        </is>
      </c>
      <c r="D47" s="9" t="inlineStr">
        <is>
          <t>MSTR</t>
        </is>
      </c>
      <c r="E47" s="9" t="inlineStr">
        <is>
          <t>OPT</t>
        </is>
      </c>
      <c r="F47" s="10" t="n">
        <v>55</v>
      </c>
      <c r="G47" s="11" t="n">
        <v>0.03</v>
      </c>
      <c r="H47" s="10">
        <f>IF(F47*G47=0,"",ROUND(I47/(F47*G47),0))</f>
        <v/>
      </c>
      <c r="I47" s="12" t="n">
        <v>165</v>
      </c>
      <c r="J47" s="12" t="n">
        <v>-1229.27</v>
      </c>
      <c r="K47" s="12">
        <f>I47-J47</f>
        <v/>
      </c>
      <c r="L47" s="11">
        <f>IF(OR(F47=0,H47=""),"",K47/(F47*H47))</f>
        <v/>
      </c>
      <c r="M47" s="13">
        <f>IF(K47=0,"",J47/K47)</f>
        <v/>
      </c>
      <c r="N47" s="10" t="n">
        <v>1507.2</v>
      </c>
      <c r="O47" s="11" t="n">
        <v>4.57</v>
      </c>
    </row>
    <row r="48">
      <c r="A48" s="2" t="n">
        <v>46260</v>
      </c>
      <c r="B48" s="3" t="inlineStr">
        <is>
          <t>רביעי</t>
        </is>
      </c>
      <c r="C48" s="3" t="inlineStr">
        <is>
          <t>13:51</t>
        </is>
      </c>
      <c r="D48" s="3" t="inlineStr">
        <is>
          <t>MSTR</t>
        </is>
      </c>
      <c r="E48" s="3" t="inlineStr">
        <is>
          <t>OPT</t>
        </is>
      </c>
      <c r="F48" s="4" t="n">
        <v>35</v>
      </c>
      <c r="G48" s="5" t="n">
        <v>0.09</v>
      </c>
      <c r="H48" s="4">
        <f>IF(F48*G48=0,"",ROUND(I48/(F48*G48),0))</f>
        <v/>
      </c>
      <c r="I48" s="6" t="n">
        <v>315</v>
      </c>
      <c r="J48" s="6" t="n">
        <v>-1320.12</v>
      </c>
      <c r="K48" s="6">
        <f>I48-J48</f>
        <v/>
      </c>
      <c r="L48" s="5">
        <f>IF(OR(F48=0,H48=""),"",K48/(F48*H48))</f>
        <v/>
      </c>
      <c r="M48" s="7">
        <f>IF(K48=0,"",J48/K48)</f>
        <v/>
      </c>
      <c r="N48" s="4" t="n">
        <v>1653.7</v>
      </c>
      <c r="O48" s="5" t="n">
        <v>9.48</v>
      </c>
    </row>
    <row r="49">
      <c r="A49" s="8" t="n">
        <v>46260</v>
      </c>
      <c r="B49" s="9" t="inlineStr">
        <is>
          <t>רביעי</t>
        </is>
      </c>
      <c r="C49" s="9" t="inlineStr">
        <is>
          <t>13:51</t>
        </is>
      </c>
      <c r="D49" s="9" t="inlineStr">
        <is>
          <t>OKLO</t>
        </is>
      </c>
      <c r="E49" s="9" t="inlineStr">
        <is>
          <t>OPT</t>
        </is>
      </c>
      <c r="F49" s="10" t="n">
        <v>1</v>
      </c>
      <c r="G49" s="11" t="n">
        <v>0.04</v>
      </c>
      <c r="H49" s="10">
        <f>IF(F49*G49=0,"",ROUND(I49/(F49*G49),0))</f>
        <v/>
      </c>
      <c r="I49" s="12" t="n">
        <v>4</v>
      </c>
      <c r="J49" s="12" t="n">
        <v>-30.32</v>
      </c>
      <c r="K49" s="12">
        <f>I49-J49</f>
        <v/>
      </c>
      <c r="L49" s="11">
        <f>IF(OR(F49=0,H49=""),"",K49/(F49*H49))</f>
        <v/>
      </c>
      <c r="M49" s="13">
        <f>IF(K49=0,"",J49/K49)</f>
        <v/>
      </c>
      <c r="N49" s="10" t="n">
        <v>1431.8</v>
      </c>
      <c r="O49" s="11" t="n">
        <v>0.79</v>
      </c>
    </row>
    <row r="50">
      <c r="A50" s="2" t="n">
        <v>46260</v>
      </c>
      <c r="B50" s="3" t="inlineStr">
        <is>
          <t>רביעי</t>
        </is>
      </c>
      <c r="C50" s="3" t="inlineStr">
        <is>
          <t>14:04</t>
        </is>
      </c>
      <c r="D50" s="3" t="inlineStr">
        <is>
          <t>OKLO</t>
        </is>
      </c>
      <c r="E50" s="3" t="inlineStr">
        <is>
          <t>OPT</t>
        </is>
      </c>
      <c r="F50" s="4" t="n">
        <v>1</v>
      </c>
      <c r="G50" s="5" t="n">
        <v>0.04</v>
      </c>
      <c r="H50" s="4">
        <f>IF(F50*G50=0,"",ROUND(I50/(F50*G50),0))</f>
        <v/>
      </c>
      <c r="I50" s="6" t="n">
        <v>4</v>
      </c>
      <c r="J50" s="6" t="n">
        <v>-30.31</v>
      </c>
      <c r="K50" s="6">
        <f>I50-J50</f>
        <v/>
      </c>
      <c r="L50" s="5">
        <f>IF(OR(F50=0,H50=""),"",K50/(F50*H50))</f>
        <v/>
      </c>
      <c r="M50" s="7">
        <f>IF(K50=0,"",J50/K50)</f>
        <v/>
      </c>
      <c r="N50" s="4" t="n">
        <v>1445.5</v>
      </c>
      <c r="O50" s="5" t="n">
        <v>0.78</v>
      </c>
    </row>
    <row r="51">
      <c r="A51" s="8" t="n">
        <v>46260</v>
      </c>
      <c r="B51" s="9" t="inlineStr">
        <is>
          <t>רביעי</t>
        </is>
      </c>
      <c r="C51" s="9" t="inlineStr">
        <is>
          <t>14:05</t>
        </is>
      </c>
      <c r="D51" s="9" t="inlineStr">
        <is>
          <t>OKLO</t>
        </is>
      </c>
      <c r="E51" s="9" t="inlineStr">
        <is>
          <t>OPT</t>
        </is>
      </c>
      <c r="F51" s="10" t="n">
        <v>1</v>
      </c>
      <c r="G51" s="11" t="n">
        <v>0.04</v>
      </c>
      <c r="H51" s="10">
        <f>IF(F51*G51=0,"",ROUND(I51/(F51*G51),0))</f>
        <v/>
      </c>
      <c r="I51" s="12" t="n">
        <v>4</v>
      </c>
      <c r="J51" s="12" t="n">
        <v>-29.55</v>
      </c>
      <c r="K51" s="12">
        <f>I51-J51</f>
        <v/>
      </c>
      <c r="L51" s="11">
        <f>IF(OR(F51=0,H51=""),"",K51/(F51*H51))</f>
        <v/>
      </c>
      <c r="M51" s="13">
        <f>IF(K51=0,"",J51/K51)</f>
        <v/>
      </c>
      <c r="N51" s="10" t="n">
        <v>1446</v>
      </c>
      <c r="O51" s="11" t="n">
        <v>0.02</v>
      </c>
    </row>
    <row r="52">
      <c r="A52" s="2" t="n">
        <v>46260</v>
      </c>
      <c r="B52" s="3" t="inlineStr">
        <is>
          <t>רביעי</t>
        </is>
      </c>
      <c r="C52" s="3" t="inlineStr">
        <is>
          <t>14:08</t>
        </is>
      </c>
      <c r="D52" s="3" t="inlineStr">
        <is>
          <t>OKLO</t>
        </is>
      </c>
      <c r="E52" s="3" t="inlineStr">
        <is>
          <t>OPT</t>
        </is>
      </c>
      <c r="F52" s="4" t="n">
        <v>1</v>
      </c>
      <c r="G52" s="5" t="n">
        <v>0.04</v>
      </c>
      <c r="H52" s="4">
        <f>IF(F52*G52=0,"",ROUND(I52/(F52*G52),0))</f>
        <v/>
      </c>
      <c r="I52" s="6" t="n">
        <v>4</v>
      </c>
      <c r="J52" s="6" t="n">
        <v>-30.32</v>
      </c>
      <c r="K52" s="6">
        <f>I52-J52</f>
        <v/>
      </c>
      <c r="L52" s="5">
        <f>IF(OR(F52=0,H52=""),"",K52/(F52*H52))</f>
        <v/>
      </c>
      <c r="M52" s="7">
        <f>IF(K52=0,"",J52/K52)</f>
        <v/>
      </c>
      <c r="N52" s="4" t="n">
        <v>1449.1</v>
      </c>
      <c r="O52" s="5" t="n">
        <v>0.79</v>
      </c>
    </row>
    <row r="53">
      <c r="A53" s="8" t="n">
        <v>46260</v>
      </c>
      <c r="B53" s="9" t="inlineStr">
        <is>
          <t>רביעי</t>
        </is>
      </c>
      <c r="C53" s="9" t="inlineStr">
        <is>
          <t>14:11</t>
        </is>
      </c>
      <c r="D53" s="9" t="inlineStr">
        <is>
          <t>OKLO</t>
        </is>
      </c>
      <c r="E53" s="9" t="inlineStr">
        <is>
          <t>OPT</t>
        </is>
      </c>
      <c r="F53" s="10" t="n">
        <v>1</v>
      </c>
      <c r="G53" s="11" t="n">
        <v>0.04</v>
      </c>
      <c r="H53" s="10">
        <f>IF(F53*G53=0,"",ROUND(I53/(F53*G53),0))</f>
        <v/>
      </c>
      <c r="I53" s="12" t="n">
        <v>4</v>
      </c>
      <c r="J53" s="12" t="n">
        <v>-29.55</v>
      </c>
      <c r="K53" s="12">
        <f>I53-J53</f>
        <v/>
      </c>
      <c r="L53" s="11">
        <f>IF(OR(F53=0,H53=""),"",K53/(F53*H53))</f>
        <v/>
      </c>
      <c r="M53" s="13">
        <f>IF(K53=0,"",J53/K53)</f>
        <v/>
      </c>
      <c r="N53" s="10" t="n">
        <v>1452.2</v>
      </c>
      <c r="O53" s="11" t="n">
        <v>0.02</v>
      </c>
    </row>
    <row r="54">
      <c r="A54" s="2" t="n">
        <v>46260</v>
      </c>
      <c r="B54" s="3" t="inlineStr">
        <is>
          <t>רביעי</t>
        </is>
      </c>
      <c r="C54" s="3" t="inlineStr">
        <is>
          <t>14:33</t>
        </is>
      </c>
      <c r="D54" s="3" t="inlineStr">
        <is>
          <t>OKLO</t>
        </is>
      </c>
      <c r="E54" s="3" t="inlineStr">
        <is>
          <t>OPT</t>
        </is>
      </c>
      <c r="F54" s="4" t="n">
        <v>8</v>
      </c>
      <c r="G54" s="5" t="n">
        <v>0.03</v>
      </c>
      <c r="H54" s="4">
        <f>IF(F54*G54=0,"",ROUND(I54/(F54*G54),0))</f>
        <v/>
      </c>
      <c r="I54" s="6" t="n">
        <v>24</v>
      </c>
      <c r="J54" s="6" t="n">
        <v>-244.04</v>
      </c>
      <c r="K54" s="6">
        <f>I54-J54</f>
        <v/>
      </c>
      <c r="L54" s="5">
        <f>IF(OR(F54=0,H54=""),"",K54/(F54*H54))</f>
        <v/>
      </c>
      <c r="M54" s="7">
        <f>IF(K54=0,"",J54/K54)</f>
        <v/>
      </c>
      <c r="N54" s="4" t="n">
        <v>1474.5</v>
      </c>
      <c r="O54" s="5" t="n">
        <v>-0.17</v>
      </c>
    </row>
    <row r="55">
      <c r="A55" s="8" t="n">
        <v>46260</v>
      </c>
      <c r="B55" s="9" t="inlineStr">
        <is>
          <t>רביעי</t>
        </is>
      </c>
      <c r="C55" s="9" t="inlineStr">
        <is>
          <t>14:34</t>
        </is>
      </c>
      <c r="D55" s="9" t="inlineStr">
        <is>
          <t>OKLO</t>
        </is>
      </c>
      <c r="E55" s="9" t="inlineStr">
        <is>
          <t>OPT</t>
        </is>
      </c>
      <c r="F55" s="10" t="n">
        <v>1</v>
      </c>
      <c r="G55" s="11" t="n">
        <v>0.03</v>
      </c>
      <c r="H55" s="10">
        <f>IF(F55*G55=0,"",ROUND(I55/(F55*G55),0))</f>
        <v/>
      </c>
      <c r="I55" s="12" t="n">
        <v>3</v>
      </c>
      <c r="J55" s="12" t="n">
        <v>-30.57</v>
      </c>
      <c r="K55" s="12">
        <f>I55-J55</f>
        <v/>
      </c>
      <c r="L55" s="11">
        <f>IF(OR(F55=0,H55=""),"",K55/(F55*H55))</f>
        <v/>
      </c>
      <c r="M55" s="13">
        <f>IF(K55=0,"",J55/K55)</f>
        <v/>
      </c>
      <c r="N55" s="10" t="n">
        <v>1474.6</v>
      </c>
      <c r="O55" s="11" t="n">
        <v>0.04</v>
      </c>
    </row>
    <row r="56">
      <c r="A56" s="2" t="n">
        <v>46260</v>
      </c>
      <c r="B56" s="3" t="inlineStr">
        <is>
          <t>רביעי</t>
        </is>
      </c>
      <c r="C56" s="3" t="inlineStr">
        <is>
          <t>15:16</t>
        </is>
      </c>
      <c r="D56" s="3" t="inlineStr">
        <is>
          <t>OKLO</t>
        </is>
      </c>
      <c r="E56" s="3" t="inlineStr">
        <is>
          <t>OPT</t>
        </is>
      </c>
      <c r="F56" s="4" t="n">
        <v>51</v>
      </c>
      <c r="G56" s="5" t="n">
        <v>0.03</v>
      </c>
      <c r="H56" s="4">
        <f>IF(F56*G56=0,"",ROUND(I56/(F56*G56),0))</f>
        <v/>
      </c>
      <c r="I56" s="6" t="n">
        <v>153</v>
      </c>
      <c r="J56" s="6" t="n">
        <v>-1555.69</v>
      </c>
      <c r="K56" s="6">
        <f>I56-J56</f>
        <v/>
      </c>
      <c r="L56" s="5">
        <f>IF(OR(F56=0,H56=""),"",K56/(F56*H56))</f>
        <v/>
      </c>
      <c r="M56" s="7">
        <f>IF(K56=0,"",J56/K56)</f>
        <v/>
      </c>
      <c r="N56" s="4" t="n">
        <v>1516.9</v>
      </c>
      <c r="O56" s="5" t="n">
        <v>-1.2</v>
      </c>
    </row>
    <row r="57">
      <c r="A57" s="8" t="n">
        <v>46260</v>
      </c>
      <c r="B57" s="9" t="inlineStr">
        <is>
          <t>רביעי</t>
        </is>
      </c>
      <c r="C57" s="9" t="inlineStr">
        <is>
          <t>22:25</t>
        </is>
      </c>
      <c r="D57" s="9" t="inlineStr">
        <is>
          <t>CRM</t>
        </is>
      </c>
      <c r="E57" s="9" t="inlineStr">
        <is>
          <t>OPT</t>
        </is>
      </c>
      <c r="F57" s="10" t="n">
        <v>70</v>
      </c>
      <c r="G57" s="11" t="n">
        <v>0</v>
      </c>
      <c r="H57" s="10">
        <f>IF(F57*G57=0,"",ROUND(I57/(F57*G57),0))</f>
        <v/>
      </c>
      <c r="I57" s="12" t="n">
        <v>0</v>
      </c>
      <c r="J57" s="12" t="n">
        <v>-1680</v>
      </c>
      <c r="K57" s="12">
        <f>I57-J57</f>
        <v/>
      </c>
      <c r="L57" s="11">
        <f>IF(OR(F57=0,H57=""),"",K57/(F57*H57))</f>
        <v/>
      </c>
      <c r="M57" s="13">
        <f>IF(K57=0,"",J57/K57)</f>
        <v/>
      </c>
      <c r="N57" s="10" t="n">
        <v>3305.1</v>
      </c>
      <c r="O57" s="11" t="n">
        <v>0</v>
      </c>
    </row>
    <row r="58">
      <c r="A58" s="2" t="n">
        <v>46260</v>
      </c>
      <c r="B58" s="3" t="inlineStr">
        <is>
          <t>רביעי</t>
        </is>
      </c>
      <c r="C58" s="3" t="inlineStr">
        <is>
          <t>22:25</t>
        </is>
      </c>
      <c r="D58" s="3" t="inlineStr">
        <is>
          <t>NU</t>
        </is>
      </c>
      <c r="E58" s="3" t="inlineStr">
        <is>
          <t>OPT</t>
        </is>
      </c>
      <c r="F58" s="4" t="n">
        <v>340</v>
      </c>
      <c r="G58" s="5" t="n">
        <v>0</v>
      </c>
      <c r="H58" s="4">
        <f>IF(F58*G58=0,"",ROUND(I58/(F58*G58),0))</f>
        <v/>
      </c>
      <c r="I58" s="6" t="n">
        <v>0</v>
      </c>
      <c r="J58" s="6" t="n">
        <v>-2940</v>
      </c>
      <c r="K58" s="6">
        <f>I58-J58</f>
        <v/>
      </c>
      <c r="L58" s="5">
        <f>IF(OR(F58=0,H58=""),"",K58/(F58*H58))</f>
        <v/>
      </c>
      <c r="M58" s="7">
        <f>IF(K58=0,"",J58/K58)</f>
        <v/>
      </c>
      <c r="N58" s="4" t="n">
        <v>1883.8</v>
      </c>
      <c r="O58" s="5" t="n">
        <v>0</v>
      </c>
    </row>
    <row r="59">
      <c r="A59" s="8" t="n">
        <v>46260</v>
      </c>
      <c r="B59" s="9" t="inlineStr">
        <is>
          <t>רביעי</t>
        </is>
      </c>
      <c r="C59" s="9" t="inlineStr">
        <is>
          <t>22:25</t>
        </is>
      </c>
      <c r="D59" s="9" t="inlineStr">
        <is>
          <t>NVDA</t>
        </is>
      </c>
      <c r="E59" s="9" t="inlineStr">
        <is>
          <t>OPT</t>
        </is>
      </c>
      <c r="F59" s="10" t="n">
        <v>31</v>
      </c>
      <c r="G59" s="11" t="n">
        <v>0</v>
      </c>
      <c r="H59" s="10">
        <f>IF(F59*G59=0,"",ROUND(I59/(F59*G59),0))</f>
        <v/>
      </c>
      <c r="I59" s="12" t="n">
        <v>0</v>
      </c>
      <c r="J59" s="12" t="n">
        <v>-1891</v>
      </c>
      <c r="K59" s="12">
        <f>I59-J59</f>
        <v/>
      </c>
      <c r="L59" s="11">
        <f>IF(OR(F59=0,H59=""),"",K59/(F59*H59))</f>
        <v/>
      </c>
      <c r="M59" s="13">
        <f>IF(K59=0,"",J59/K59)</f>
        <v/>
      </c>
      <c r="N59" s="10" t="n">
        <v>584.8</v>
      </c>
      <c r="O59" s="11" t="n">
        <v>0</v>
      </c>
    </row>
    <row r="60">
      <c r="A60" s="2" t="n">
        <v>46261</v>
      </c>
      <c r="B60" s="3" t="inlineStr">
        <is>
          <t>חמישי</t>
        </is>
      </c>
      <c r="C60" s="3" t="inlineStr">
        <is>
          <t>09:34</t>
        </is>
      </c>
      <c r="D60" s="3" t="inlineStr">
        <is>
          <t>CRM</t>
        </is>
      </c>
      <c r="E60" s="3" t="inlineStr">
        <is>
          <t>OPT</t>
        </is>
      </c>
      <c r="F60" s="4" t="n">
        <v>4</v>
      </c>
      <c r="G60" s="5" t="n">
        <v>6.9</v>
      </c>
      <c r="H60" s="4">
        <f>IF(F60*G60=0,"",ROUND(I60/(F60*G60),0))</f>
        <v/>
      </c>
      <c r="I60" s="6" t="n">
        <v>2760</v>
      </c>
      <c r="J60" s="6" t="n">
        <v>2358.31</v>
      </c>
      <c r="K60" s="6">
        <f>I60-J60</f>
        <v/>
      </c>
      <c r="L60" s="5">
        <f>IF(OR(F60=0,H60=""),"",K60/(F60*H60))</f>
        <v/>
      </c>
      <c r="M60" s="7">
        <f>IF(K60=0,"",J60/K60)</f>
        <v/>
      </c>
      <c r="N60" s="4" t="n">
        <v>1204.6</v>
      </c>
      <c r="O60" s="5" t="n">
        <v>1.14</v>
      </c>
    </row>
    <row r="61">
      <c r="A61" s="8" t="n">
        <v>46261</v>
      </c>
      <c r="B61" s="9" t="inlineStr">
        <is>
          <t>חמישי</t>
        </is>
      </c>
      <c r="C61" s="9" t="inlineStr">
        <is>
          <t>09:36</t>
        </is>
      </c>
      <c r="D61" s="9" t="inlineStr">
        <is>
          <t>NVDA</t>
        </is>
      </c>
      <c r="E61" s="9" t="inlineStr">
        <is>
          <t>OPT</t>
        </is>
      </c>
      <c r="F61" s="10" t="n">
        <v>50</v>
      </c>
      <c r="G61" s="11" t="n">
        <v>0.19</v>
      </c>
      <c r="H61" s="10">
        <f>IF(F61*G61=0,"",ROUND(I61/(F61*G61),0))</f>
        <v/>
      </c>
      <c r="I61" s="12" t="n">
        <v>950</v>
      </c>
      <c r="J61" s="12" t="n">
        <v>-1166.64</v>
      </c>
      <c r="K61" s="12">
        <f>I61-J61</f>
        <v/>
      </c>
      <c r="L61" s="11">
        <f>IF(OR(F61=0,H61=""),"",K61/(F61*H61))</f>
        <v/>
      </c>
      <c r="M61" s="13">
        <f>IF(K61=0,"",J61/K61)</f>
        <v/>
      </c>
      <c r="N61" s="10" t="n">
        <v>2.7</v>
      </c>
      <c r="O61" s="11" t="n">
        <v>9.279999999999999</v>
      </c>
    </row>
    <row r="62">
      <c r="A62" s="2" t="n">
        <v>46261</v>
      </c>
      <c r="B62" s="3" t="inlineStr">
        <is>
          <t>חמישי</t>
        </is>
      </c>
      <c r="C62" s="3" t="inlineStr">
        <is>
          <t>09:41</t>
        </is>
      </c>
      <c r="D62" s="3" t="inlineStr">
        <is>
          <t>CRM</t>
        </is>
      </c>
      <c r="E62" s="3" t="inlineStr">
        <is>
          <t>OPT</t>
        </is>
      </c>
      <c r="F62" s="4" t="n">
        <v>4</v>
      </c>
      <c r="G62" s="5" t="n">
        <v>10.45</v>
      </c>
      <c r="H62" s="4">
        <f>IF(F62*G62=0,"",ROUND(I62/(F62*G62),0))</f>
        <v/>
      </c>
      <c r="I62" s="6" t="n">
        <v>4180</v>
      </c>
      <c r="J62" s="6" t="n">
        <v>3778.28</v>
      </c>
      <c r="K62" s="6">
        <f>I62-J62</f>
        <v/>
      </c>
      <c r="L62" s="5">
        <f>IF(OR(F62=0,H62=""),"",K62/(F62*H62))</f>
        <v/>
      </c>
      <c r="M62" s="7">
        <f>IF(K62=0,"",J62/K62)</f>
        <v/>
      </c>
      <c r="N62" s="4" t="n">
        <v>1211</v>
      </c>
      <c r="O62" s="5" t="n">
        <v>1.17</v>
      </c>
    </row>
    <row r="63">
      <c r="A63" s="8" t="n">
        <v>46261</v>
      </c>
      <c r="B63" s="9" t="inlineStr">
        <is>
          <t>חמישי</t>
        </is>
      </c>
      <c r="C63" s="9" t="inlineStr">
        <is>
          <t>09:45</t>
        </is>
      </c>
      <c r="D63" s="9" t="inlineStr">
        <is>
          <t>CRM</t>
        </is>
      </c>
      <c r="E63" s="9" t="inlineStr">
        <is>
          <t>OPT</t>
        </is>
      </c>
      <c r="F63" s="10" t="n">
        <v>15</v>
      </c>
      <c r="G63" s="11" t="n">
        <v>3.7</v>
      </c>
      <c r="H63" s="10">
        <f>IF(F63*G63=0,"",ROUND(I63/(F63*G63),0))</f>
        <v/>
      </c>
      <c r="I63" s="12" t="n">
        <v>5550</v>
      </c>
      <c r="J63" s="12" t="n">
        <v>5194.55</v>
      </c>
      <c r="K63" s="12">
        <f>I63-J63</f>
        <v/>
      </c>
      <c r="L63" s="11">
        <f>IF(OR(F63=0,H63=""),"",K63/(F63*H63))</f>
        <v/>
      </c>
      <c r="M63" s="13">
        <f>IF(K63=0,"",J63/K63)</f>
        <v/>
      </c>
      <c r="N63" s="10" t="n">
        <v>1215.3</v>
      </c>
      <c r="O63" s="11" t="n">
        <v>4.47</v>
      </c>
    </row>
    <row r="64">
      <c r="A64" s="2" t="n">
        <v>46261</v>
      </c>
      <c r="B64" s="3" t="inlineStr">
        <is>
          <t>חמישי</t>
        </is>
      </c>
      <c r="C64" s="3" t="inlineStr">
        <is>
          <t>09:47</t>
        </is>
      </c>
      <c r="D64" s="3" t="inlineStr">
        <is>
          <t>PLTR</t>
        </is>
      </c>
      <c r="E64" s="3" t="inlineStr">
        <is>
          <t>OPT</t>
        </is>
      </c>
      <c r="F64" s="4" t="n">
        <v>5</v>
      </c>
      <c r="G64" s="5" t="n">
        <v>2.81</v>
      </c>
      <c r="H64" s="4">
        <f>IF(F64*G64=0,"",ROUND(I64/(F64*G64),0))</f>
        <v/>
      </c>
      <c r="I64" s="6" t="n">
        <v>1405</v>
      </c>
      <c r="J64" s="6" t="n">
        <v>1070.89</v>
      </c>
      <c r="K64" s="6">
        <f>I64-J64</f>
        <v/>
      </c>
      <c r="L64" s="5">
        <f>IF(OR(F64=0,H64=""),"",K64/(F64*H64))</f>
        <v/>
      </c>
      <c r="M64" s="7">
        <f>IF(K64=0,"",J64/K64)</f>
        <v/>
      </c>
      <c r="N64" s="4" t="n">
        <v>1198.5</v>
      </c>
      <c r="O64" s="5" t="n">
        <v>1.77</v>
      </c>
    </row>
    <row r="65">
      <c r="A65" s="8" t="n">
        <v>46261</v>
      </c>
      <c r="B65" s="9" t="inlineStr">
        <is>
          <t>חמישי</t>
        </is>
      </c>
      <c r="C65" s="9" t="inlineStr">
        <is>
          <t>09:48</t>
        </is>
      </c>
      <c r="D65" s="9" t="inlineStr">
        <is>
          <t>PLTR</t>
        </is>
      </c>
      <c r="E65" s="9" t="inlineStr">
        <is>
          <t>OPT</t>
        </is>
      </c>
      <c r="F65" s="10" t="n">
        <v>2</v>
      </c>
      <c r="G65" s="11" t="n">
        <v>2.34</v>
      </c>
      <c r="H65" s="10">
        <f>IF(F65*G65=0,"",ROUND(I65/(F65*G65),0))</f>
        <v/>
      </c>
      <c r="I65" s="12" t="n">
        <v>468</v>
      </c>
      <c r="J65" s="12" t="n">
        <v>334.52</v>
      </c>
      <c r="K65" s="12">
        <f>I65-J65</f>
        <v/>
      </c>
      <c r="L65" s="11">
        <f>IF(OR(F65=0,H65=""),"",K65/(F65*H65))</f>
        <v/>
      </c>
      <c r="M65" s="13">
        <f>IF(K65=0,"",J65/K65)</f>
        <v/>
      </c>
      <c r="N65" s="10" t="n">
        <v>1199.1</v>
      </c>
      <c r="O65" s="11" t="n">
        <v>0.55</v>
      </c>
    </row>
    <row r="66">
      <c r="A66" s="2" t="n">
        <v>46261</v>
      </c>
      <c r="B66" s="3" t="inlineStr">
        <is>
          <t>חמישי</t>
        </is>
      </c>
      <c r="C66" s="3" t="inlineStr">
        <is>
          <t>09:49</t>
        </is>
      </c>
      <c r="D66" s="3" t="inlineStr">
        <is>
          <t>NVDA</t>
        </is>
      </c>
      <c r="E66" s="3" t="inlineStr">
        <is>
          <t>OPT</t>
        </is>
      </c>
      <c r="F66" s="4" t="n">
        <v>55</v>
      </c>
      <c r="G66" s="5" t="n">
        <v>0.2</v>
      </c>
      <c r="H66" s="4">
        <f>IF(F66*G66=0,"",ROUND(I66/(F66*G66),0))</f>
        <v/>
      </c>
      <c r="I66" s="6" t="n">
        <v>1100</v>
      </c>
      <c r="J66" s="6" t="n">
        <v>-1138.26</v>
      </c>
      <c r="K66" s="6">
        <f>I66-J66</f>
        <v/>
      </c>
      <c r="L66" s="5">
        <f>IF(OR(F66=0,H66=""),"",K66/(F66*H66))</f>
        <v/>
      </c>
      <c r="M66" s="7">
        <f>IF(K66=0,"",J66/K66)</f>
        <v/>
      </c>
      <c r="N66" s="4" t="n">
        <v>8.9</v>
      </c>
      <c r="O66" s="5" t="n">
        <v>26.85</v>
      </c>
    </row>
    <row r="67">
      <c r="A67" s="8" t="n">
        <v>46261</v>
      </c>
      <c r="B67" s="9" t="inlineStr">
        <is>
          <t>חמישי</t>
        </is>
      </c>
      <c r="C67" s="9" t="inlineStr">
        <is>
          <t>09:56</t>
        </is>
      </c>
      <c r="D67" s="9" t="inlineStr">
        <is>
          <t>CRM</t>
        </is>
      </c>
      <c r="E67" s="9" t="inlineStr">
        <is>
          <t>OPT</t>
        </is>
      </c>
      <c r="F67" s="10" t="n">
        <v>15</v>
      </c>
      <c r="G67" s="11" t="n">
        <v>3.15</v>
      </c>
      <c r="H67" s="10">
        <f>IF(F67*G67=0,"",ROUND(I67/(F67*G67),0))</f>
        <v/>
      </c>
      <c r="I67" s="12" t="n">
        <v>4725</v>
      </c>
      <c r="J67" s="12" t="n">
        <v>4369.94</v>
      </c>
      <c r="K67" s="12">
        <f>I67-J67</f>
        <v/>
      </c>
      <c r="L67" s="11">
        <f>IF(OR(F67=0,H67=""),"",K67/(F67*H67))</f>
        <v/>
      </c>
      <c r="M67" s="13">
        <f>IF(K67=0,"",J67/K67)</f>
        <v/>
      </c>
      <c r="N67" s="10" t="n">
        <v>1225.9</v>
      </c>
      <c r="O67" s="11" t="n">
        <v>4.07</v>
      </c>
    </row>
    <row r="68">
      <c r="A68" s="2" t="n">
        <v>46261</v>
      </c>
      <c r="B68" s="3" t="inlineStr">
        <is>
          <t>חמישי</t>
        </is>
      </c>
      <c r="C68" s="3" t="inlineStr">
        <is>
          <t>09:56</t>
        </is>
      </c>
      <c r="D68" s="3" t="inlineStr">
        <is>
          <t>NOW</t>
        </is>
      </c>
      <c r="E68" s="3" t="inlineStr">
        <is>
          <t>OPT</t>
        </is>
      </c>
      <c r="F68" s="4" t="n">
        <v>20</v>
      </c>
      <c r="G68" s="5" t="n">
        <v>1.4</v>
      </c>
      <c r="H68" s="4">
        <f>IF(F68*G68=0,"",ROUND(I68/(F68*G68),0))</f>
        <v/>
      </c>
      <c r="I68" s="6" t="n">
        <v>2800</v>
      </c>
      <c r="J68" s="6" t="n">
        <v>1524.46</v>
      </c>
      <c r="K68" s="6">
        <f>I68-J68</f>
        <v/>
      </c>
      <c r="L68" s="5">
        <f>IF(OR(F68=0,H68=""),"",K68/(F68*H68))</f>
        <v/>
      </c>
      <c r="M68" s="7">
        <f>IF(K68=0,"",J68/K68)</f>
        <v/>
      </c>
      <c r="N68" s="4" t="n">
        <v>18.2</v>
      </c>
      <c r="O68" s="5" t="n">
        <v>7.48</v>
      </c>
    </row>
    <row r="69">
      <c r="A69" s="8" t="n">
        <v>46261</v>
      </c>
      <c r="B69" s="9" t="inlineStr">
        <is>
          <t>חמישי</t>
        </is>
      </c>
      <c r="C69" s="9" t="inlineStr">
        <is>
          <t>10:10</t>
        </is>
      </c>
      <c r="D69" s="9" t="inlineStr">
        <is>
          <t>CRM</t>
        </is>
      </c>
      <c r="E69" s="9" t="inlineStr">
        <is>
          <t>OPT</t>
        </is>
      </c>
      <c r="F69" s="10" t="n">
        <v>10</v>
      </c>
      <c r="G69" s="11" t="n">
        <v>4.9</v>
      </c>
      <c r="H69" s="10">
        <f>IF(F69*G69=0,"",ROUND(I69/(F69*G69),0))</f>
        <v/>
      </c>
      <c r="I69" s="12" t="n">
        <v>4900</v>
      </c>
      <c r="J69" s="12" t="n">
        <v>4663.21</v>
      </c>
      <c r="K69" s="12">
        <f>I69-J69</f>
        <v/>
      </c>
      <c r="L69" s="11">
        <f>IF(OR(F69=0,H69=""),"",K69/(F69*H69))</f>
        <v/>
      </c>
      <c r="M69" s="13">
        <f>IF(K69=0,"",J69/K69)</f>
        <v/>
      </c>
      <c r="N69" s="10" t="n">
        <v>1239.8</v>
      </c>
      <c r="O69" s="11" t="n">
        <v>2.81</v>
      </c>
    </row>
    <row r="70">
      <c r="A70" s="2" t="n">
        <v>46261</v>
      </c>
      <c r="B70" s="3" t="inlineStr">
        <is>
          <t>חמישי</t>
        </is>
      </c>
      <c r="C70" s="3" t="inlineStr">
        <is>
          <t>10:15</t>
        </is>
      </c>
      <c r="D70" s="3" t="inlineStr">
        <is>
          <t>PLTR</t>
        </is>
      </c>
      <c r="E70" s="3" t="inlineStr">
        <is>
          <t>OPT</t>
        </is>
      </c>
      <c r="F70" s="4" t="n">
        <v>23</v>
      </c>
      <c r="G70" s="5" t="n">
        <v>2.06</v>
      </c>
      <c r="H70" s="4">
        <f>IF(F70*G70=0,"",ROUND(I70/(F70*G70),0))</f>
        <v/>
      </c>
      <c r="I70" s="6" t="n">
        <v>4738</v>
      </c>
      <c r="J70" s="6" t="n">
        <v>3207.33</v>
      </c>
      <c r="K70" s="6">
        <f>I70-J70</f>
        <v/>
      </c>
      <c r="L70" s="5">
        <f>IF(OR(F70=0,H70=""),"",K70/(F70*H70))</f>
        <v/>
      </c>
      <c r="M70" s="7">
        <f>IF(K70=0,"",J70/K70)</f>
        <v/>
      </c>
      <c r="N70" s="4" t="n">
        <v>1226.3</v>
      </c>
      <c r="O70" s="5" t="n">
        <v>1.93</v>
      </c>
    </row>
    <row r="71">
      <c r="A71" s="8" t="n">
        <v>46261</v>
      </c>
      <c r="B71" s="9" t="inlineStr">
        <is>
          <t>חמישי</t>
        </is>
      </c>
      <c r="C71" s="9" t="inlineStr">
        <is>
          <t>10:20</t>
        </is>
      </c>
      <c r="D71" s="9" t="inlineStr">
        <is>
          <t>NVDA</t>
        </is>
      </c>
      <c r="E71" s="9" t="inlineStr">
        <is>
          <t>OPT</t>
        </is>
      </c>
      <c r="F71" s="10" t="n">
        <v>65</v>
      </c>
      <c r="G71" s="11" t="n">
        <v>0.26</v>
      </c>
      <c r="H71" s="10">
        <f>IF(F71*G71=0,"",ROUND(I71/(F71*G71),0))</f>
        <v/>
      </c>
      <c r="I71" s="12" t="n">
        <v>1690</v>
      </c>
      <c r="J71" s="12" t="n">
        <v>-233.68</v>
      </c>
      <c r="K71" s="12">
        <f>I71-J71</f>
        <v/>
      </c>
      <c r="L71" s="11">
        <f>IF(OR(F71=0,H71=""),"",K71/(F71*H71))</f>
        <v/>
      </c>
      <c r="M71" s="13">
        <f>IF(K71=0,"",J71/K71)</f>
        <v/>
      </c>
      <c r="N71" s="10" t="n">
        <v>3.8</v>
      </c>
      <c r="O71" s="11" t="n">
        <v>11.33</v>
      </c>
    </row>
    <row r="72">
      <c r="A72" s="2" t="n">
        <v>46261</v>
      </c>
      <c r="B72" s="3" t="inlineStr">
        <is>
          <t>חמישי</t>
        </is>
      </c>
      <c r="C72" s="3" t="inlineStr">
        <is>
          <t>10:24</t>
        </is>
      </c>
      <c r="D72" s="3" t="inlineStr">
        <is>
          <t>CRM</t>
        </is>
      </c>
      <c r="E72" s="3" t="inlineStr">
        <is>
          <t>OPT</t>
        </is>
      </c>
      <c r="F72" s="4" t="n">
        <v>2</v>
      </c>
      <c r="G72" s="5" t="n">
        <v>6.8</v>
      </c>
      <c r="H72" s="4">
        <f>IF(F72*G72=0,"",ROUND(I72/(F72*G72),0))</f>
        <v/>
      </c>
      <c r="I72" s="6" t="n">
        <v>1360</v>
      </c>
      <c r="J72" s="6" t="n">
        <v>1312.59</v>
      </c>
      <c r="K72" s="6">
        <f>I72-J72</f>
        <v/>
      </c>
      <c r="L72" s="5">
        <f>IF(OR(F72=0,H72=""),"",K72/(F72*H72))</f>
        <v/>
      </c>
      <c r="M72" s="7">
        <f>IF(K72=0,"",J72/K72)</f>
        <v/>
      </c>
      <c r="N72" s="4" t="n">
        <v>1254.6</v>
      </c>
      <c r="O72" s="5" t="n">
        <v>0.61</v>
      </c>
    </row>
    <row r="73">
      <c r="A73" s="8" t="n">
        <v>46261</v>
      </c>
      <c r="B73" s="9" t="inlineStr">
        <is>
          <t>חמישי</t>
        </is>
      </c>
      <c r="C73" s="9" t="inlineStr">
        <is>
          <t>10:25</t>
        </is>
      </c>
      <c r="D73" s="9" t="inlineStr">
        <is>
          <t>CRM</t>
        </is>
      </c>
      <c r="E73" s="9" t="inlineStr">
        <is>
          <t>OPT</t>
        </is>
      </c>
      <c r="F73" s="10" t="n">
        <v>4</v>
      </c>
      <c r="G73" s="11" t="n">
        <v>6.9</v>
      </c>
      <c r="H73" s="10">
        <f>IF(F73*G73=0,"",ROUND(I73/(F73*G73),0))</f>
        <v/>
      </c>
      <c r="I73" s="12" t="n">
        <v>2760</v>
      </c>
      <c r="J73" s="12" t="n">
        <v>2665.21</v>
      </c>
      <c r="K73" s="12">
        <f>I73-J73</f>
        <v/>
      </c>
      <c r="L73" s="11">
        <f>IF(OR(F73=0,H73=""),"",K73/(F73*H73))</f>
        <v/>
      </c>
      <c r="M73" s="13">
        <f>IF(K73=0,"",J73/K73)</f>
        <v/>
      </c>
      <c r="N73" s="10" t="n">
        <v>1142.7</v>
      </c>
      <c r="O73" s="11" t="n">
        <v>1.19</v>
      </c>
    </row>
    <row r="74">
      <c r="A74" s="2" t="n">
        <v>46261</v>
      </c>
      <c r="B74" s="3" t="inlineStr">
        <is>
          <t>חמישי</t>
        </is>
      </c>
      <c r="C74" s="3" t="inlineStr">
        <is>
          <t>10:25</t>
        </is>
      </c>
      <c r="D74" s="3" t="inlineStr">
        <is>
          <t>CRM</t>
        </is>
      </c>
      <c r="E74" s="3" t="inlineStr">
        <is>
          <t>OPT</t>
        </is>
      </c>
      <c r="F74" s="4" t="n">
        <v>14</v>
      </c>
      <c r="G74" s="5" t="n">
        <v>6.8</v>
      </c>
      <c r="H74" s="4">
        <f>IF(F74*G74=0,"",ROUND(I74/(F74*G74),0))</f>
        <v/>
      </c>
      <c r="I74" s="6" t="n">
        <v>9520</v>
      </c>
      <c r="J74" s="6" t="n">
        <v>9188.15</v>
      </c>
      <c r="K74" s="6">
        <f>I74-J74</f>
        <v/>
      </c>
      <c r="L74" s="5">
        <f>IF(OR(F74=0,H74=""),"",K74/(F74*H74))</f>
        <v/>
      </c>
      <c r="M74" s="7">
        <f>IF(K74=0,"",J74/K74)</f>
        <v/>
      </c>
      <c r="N74" s="4" t="n">
        <v>1222.8</v>
      </c>
      <c r="O74" s="5" t="n">
        <v>4.26</v>
      </c>
    </row>
    <row r="75">
      <c r="A75" s="8" t="n">
        <v>46261</v>
      </c>
      <c r="B75" s="9" t="inlineStr">
        <is>
          <t>חמישי</t>
        </is>
      </c>
      <c r="C75" s="9" t="inlineStr">
        <is>
          <t>10:39</t>
        </is>
      </c>
      <c r="D75" s="9" t="inlineStr">
        <is>
          <t>INTC</t>
        </is>
      </c>
      <c r="E75" s="9" t="inlineStr">
        <is>
          <t>OPT</t>
        </is>
      </c>
      <c r="F75" s="10" t="n">
        <v>125</v>
      </c>
      <c r="G75" s="11" t="n">
        <v>0.06</v>
      </c>
      <c r="H75" s="10">
        <f>IF(F75*G75=0,"",ROUND(I75/(F75*G75),0))</f>
        <v/>
      </c>
      <c r="I75" s="12" t="n">
        <v>750</v>
      </c>
      <c r="J75" s="12" t="n">
        <v>-972.03</v>
      </c>
      <c r="K75" s="12">
        <f>I75-J75</f>
        <v/>
      </c>
      <c r="L75" s="11">
        <f>IF(OR(F75=0,H75=""),"",K75/(F75*H75))</f>
        <v/>
      </c>
      <c r="M75" s="13">
        <f>IF(K75=0,"",J75/K75)</f>
        <v/>
      </c>
      <c r="N75" s="10" t="n">
        <v>14.3</v>
      </c>
      <c r="O75" s="11" t="n">
        <v>32.26</v>
      </c>
    </row>
    <row r="76">
      <c r="A76" s="2" t="n">
        <v>46261</v>
      </c>
      <c r="B76" s="3" t="inlineStr">
        <is>
          <t>חמישי</t>
        </is>
      </c>
      <c r="C76" s="3" t="inlineStr">
        <is>
          <t>10:39</t>
        </is>
      </c>
      <c r="D76" s="3" t="inlineStr">
        <is>
          <t>NOW</t>
        </is>
      </c>
      <c r="E76" s="3" t="inlineStr">
        <is>
          <t>OPT</t>
        </is>
      </c>
      <c r="F76" s="4" t="n">
        <v>80</v>
      </c>
      <c r="G76" s="5" t="n">
        <v>0.27</v>
      </c>
      <c r="H76" s="4">
        <f>IF(F76*G76=0,"",ROUND(I76/(F76*G76),0))</f>
        <v/>
      </c>
      <c r="I76" s="6" t="n">
        <v>2160</v>
      </c>
      <c r="J76" s="6" t="n">
        <v>-1567.09</v>
      </c>
      <c r="K76" s="6">
        <f>I76-J76</f>
        <v/>
      </c>
      <c r="L76" s="5">
        <f>IF(OR(F76=0,H76=""),"",K76/(F76*H76))</f>
        <v/>
      </c>
      <c r="M76" s="7">
        <f>IF(K76=0,"",J76/K76)</f>
        <v/>
      </c>
      <c r="N76" s="4" t="n">
        <v>51.1</v>
      </c>
      <c r="O76" s="5" t="n">
        <v>22.25</v>
      </c>
    </row>
    <row r="77">
      <c r="A77" s="8" t="n">
        <v>46261</v>
      </c>
      <c r="B77" s="9" t="inlineStr">
        <is>
          <t>חמישי</t>
        </is>
      </c>
      <c r="C77" s="9" t="inlineStr">
        <is>
          <t>10:40</t>
        </is>
      </c>
      <c r="D77" s="9" t="inlineStr">
        <is>
          <t>NOW</t>
        </is>
      </c>
      <c r="E77" s="9" t="inlineStr">
        <is>
          <t>OPT</t>
        </is>
      </c>
      <c r="F77" s="10" t="n">
        <v>25</v>
      </c>
      <c r="G77" s="11" t="n">
        <v>1.08</v>
      </c>
      <c r="H77" s="10">
        <f>IF(F77*G77=0,"",ROUND(I77/(F77*G77),0))</f>
        <v/>
      </c>
      <c r="I77" s="12" t="n">
        <v>2700</v>
      </c>
      <c r="J77" s="12" t="n">
        <v>1108.1</v>
      </c>
      <c r="K77" s="12">
        <f>I77-J77</f>
        <v/>
      </c>
      <c r="L77" s="11">
        <f>IF(OR(F77=0,H77=""),"",K77/(F77*H77))</f>
        <v/>
      </c>
      <c r="M77" s="13">
        <f>IF(K77=0,"",J77/K77)</f>
        <v/>
      </c>
      <c r="N77" s="10" t="n">
        <v>45.6</v>
      </c>
      <c r="O77" s="11" t="n">
        <v>6.82</v>
      </c>
    </row>
    <row r="78">
      <c r="A78" s="2" t="n">
        <v>46261</v>
      </c>
      <c r="B78" s="3" t="inlineStr">
        <is>
          <t>חמישי</t>
        </is>
      </c>
      <c r="C78" s="3" t="inlineStr">
        <is>
          <t>11:23</t>
        </is>
      </c>
      <c r="D78" s="3" t="inlineStr">
        <is>
          <t>MSFT</t>
        </is>
      </c>
      <c r="E78" s="3" t="inlineStr">
        <is>
          <t>OPT</t>
        </is>
      </c>
      <c r="F78" s="4" t="n">
        <v>40</v>
      </c>
      <c r="G78" s="5" t="n">
        <v>0.25</v>
      </c>
      <c r="H78" s="4">
        <f>IF(F78*G78=0,"",ROUND(I78/(F78*G78),0))</f>
        <v/>
      </c>
      <c r="I78" s="6" t="n">
        <v>1000</v>
      </c>
      <c r="J78" s="6" t="n">
        <v>-1021.54</v>
      </c>
      <c r="K78" s="6">
        <f>I78-J78</f>
        <v/>
      </c>
      <c r="L78" s="5">
        <f>IF(OR(F78=0,H78=""),"",K78/(F78*H78))</f>
        <v/>
      </c>
      <c r="M78" s="7">
        <f>IF(K78=0,"",J78/K78)</f>
        <v/>
      </c>
      <c r="N78" s="4" t="n">
        <v>69.2</v>
      </c>
      <c r="O78" s="5" t="n">
        <v>10.84</v>
      </c>
    </row>
    <row r="79">
      <c r="A79" s="8" t="n">
        <v>46261</v>
      </c>
      <c r="B79" s="9" t="inlineStr">
        <is>
          <t>חמישי</t>
        </is>
      </c>
      <c r="C79" s="9" t="inlineStr">
        <is>
          <t>11:28</t>
        </is>
      </c>
      <c r="D79" s="9" t="inlineStr">
        <is>
          <t>CRM</t>
        </is>
      </c>
      <c r="E79" s="9" t="inlineStr">
        <is>
          <t>OPT</t>
        </is>
      </c>
      <c r="F79" s="10" t="n">
        <v>35</v>
      </c>
      <c r="G79" s="11" t="n">
        <v>2.5</v>
      </c>
      <c r="H79" s="10">
        <f>IF(F79*G79=0,"",ROUND(I79/(F79*G79),0))</f>
        <v/>
      </c>
      <c r="I79" s="12" t="n">
        <v>8750</v>
      </c>
      <c r="J79" s="12" t="n">
        <v>3879.51</v>
      </c>
      <c r="K79" s="12">
        <f>I79-J79</f>
        <v/>
      </c>
      <c r="L79" s="11">
        <f>IF(OR(F79=0,H79=""),"",K79/(F79*H79))</f>
        <v/>
      </c>
      <c r="M79" s="13">
        <f>IF(K79=0,"",J79/K79)</f>
        <v/>
      </c>
      <c r="N79" s="10" t="n">
        <v>106.2</v>
      </c>
      <c r="O79" s="11" t="n">
        <v>9.43</v>
      </c>
    </row>
    <row r="80">
      <c r="A80" s="2" t="n">
        <v>46261</v>
      </c>
      <c r="B80" s="3" t="inlineStr">
        <is>
          <t>חמישי</t>
        </is>
      </c>
      <c r="C80" s="3" t="inlineStr">
        <is>
          <t>11:37</t>
        </is>
      </c>
      <c r="D80" s="3" t="inlineStr">
        <is>
          <t>INTC</t>
        </is>
      </c>
      <c r="E80" s="3" t="inlineStr">
        <is>
          <t>OPT</t>
        </is>
      </c>
      <c r="F80" s="4" t="n">
        <v>80</v>
      </c>
      <c r="G80" s="5" t="n">
        <v>0.18</v>
      </c>
      <c r="H80" s="4">
        <f>IF(F80*G80=0,"",ROUND(I80/(F80*G80),0))</f>
        <v/>
      </c>
      <c r="I80" s="6" t="n">
        <v>1440</v>
      </c>
      <c r="J80" s="6" t="n">
        <v>-843.71</v>
      </c>
      <c r="K80" s="6">
        <f>I80-J80</f>
        <v/>
      </c>
      <c r="L80" s="5">
        <f>IF(OR(F80=0,H80=""),"",K80/(F80*H80))</f>
        <v/>
      </c>
      <c r="M80" s="7">
        <f>IF(K80=0,"",J80/K80)</f>
        <v/>
      </c>
      <c r="N80" s="4" t="n">
        <v>66.90000000000001</v>
      </c>
      <c r="O80" s="5" t="n">
        <v>22.32</v>
      </c>
    </row>
    <row r="81">
      <c r="A81" s="8" t="n">
        <v>46261</v>
      </c>
      <c r="B81" s="9" t="inlineStr">
        <is>
          <t>חמישי</t>
        </is>
      </c>
      <c r="C81" s="9" t="inlineStr">
        <is>
          <t>13:06</t>
        </is>
      </c>
      <c r="D81" s="9" t="inlineStr">
        <is>
          <t>ES</t>
        </is>
      </c>
      <c r="E81" s="9" t="inlineStr">
        <is>
          <t>FOP</t>
        </is>
      </c>
      <c r="F81" s="10" t="n">
        <v>27</v>
      </c>
      <c r="G81" s="11" t="n">
        <v>0.85</v>
      </c>
      <c r="H81" s="10">
        <f>IF(F81*G81=0,"",ROUND(I81/(F81*G81),0))</f>
        <v/>
      </c>
      <c r="I81" s="12" t="n">
        <v>1147.5</v>
      </c>
      <c r="J81" s="12" t="n">
        <v>-413.64</v>
      </c>
      <c r="K81" s="12">
        <f>I81-J81</f>
        <v/>
      </c>
      <c r="L81" s="11">
        <f>IF(OR(F81=0,H81=""),"",K81/(F81*H81))</f>
        <v/>
      </c>
      <c r="M81" s="13">
        <f>IF(K81=0,"",J81/K81)</f>
        <v/>
      </c>
      <c r="N81" s="10" t="n">
        <v>25.8</v>
      </c>
      <c r="O81" s="11" t="n">
        <v>38.07</v>
      </c>
    </row>
    <row r="82">
      <c r="A82" s="2" t="n">
        <v>46261</v>
      </c>
      <c r="B82" s="3" t="inlineStr">
        <is>
          <t>חמישי</t>
        </is>
      </c>
      <c r="C82" s="3" t="inlineStr">
        <is>
          <t>13:07</t>
        </is>
      </c>
      <c r="D82" s="3" t="inlineStr">
        <is>
          <t>ES</t>
        </is>
      </c>
      <c r="E82" s="3" t="inlineStr">
        <is>
          <t>FOP</t>
        </is>
      </c>
      <c r="F82" s="4" t="n">
        <v>3</v>
      </c>
      <c r="G82" s="5" t="n">
        <v>0.8</v>
      </c>
      <c r="H82" s="4">
        <f>IF(F82*G82=0,"",ROUND(I82/(F82*G82),0))</f>
        <v/>
      </c>
      <c r="I82" s="6" t="n">
        <v>120</v>
      </c>
      <c r="J82" s="6" t="n">
        <v>-53.46</v>
      </c>
      <c r="K82" s="6">
        <f>I82-J82</f>
        <v/>
      </c>
      <c r="L82" s="5">
        <f>IF(OR(F82=0,H82=""),"",K82/(F82*H82))</f>
        <v/>
      </c>
      <c r="M82" s="7">
        <f>IF(K82=0,"",J82/K82)</f>
        <v/>
      </c>
      <c r="N82" s="4" t="n">
        <v>26.3</v>
      </c>
      <c r="O82" s="5" t="n">
        <v>4.23</v>
      </c>
    </row>
    <row r="83">
      <c r="A83" s="8" t="n">
        <v>46261</v>
      </c>
      <c r="B83" s="9" t="inlineStr">
        <is>
          <t>חמישי</t>
        </is>
      </c>
      <c r="C83" s="9" t="inlineStr">
        <is>
          <t>13:30</t>
        </is>
      </c>
      <c r="D83" s="9" t="inlineStr">
        <is>
          <t>NVDA</t>
        </is>
      </c>
      <c r="E83" s="9" t="inlineStr">
        <is>
          <t>OPT</t>
        </is>
      </c>
      <c r="F83" s="10" t="n">
        <v>40</v>
      </c>
      <c r="G83" s="11" t="n">
        <v>0.49</v>
      </c>
      <c r="H83" s="10">
        <f>IF(F83*G83=0,"",ROUND(I83/(F83*G83),0))</f>
        <v/>
      </c>
      <c r="I83" s="12" t="n">
        <v>1960</v>
      </c>
      <c r="J83" s="12" t="n">
        <v>-532.62</v>
      </c>
      <c r="K83" s="12">
        <f>I83-J83</f>
        <v/>
      </c>
      <c r="L83" s="11">
        <f>IF(OR(F83=0,H83=""),"",K83/(F83*H83))</f>
        <v/>
      </c>
      <c r="M83" s="13">
        <f>IF(K83=0,"",J83/K83)</f>
        <v/>
      </c>
      <c r="N83" s="10" t="n">
        <v>54.9</v>
      </c>
      <c r="O83" s="11" t="n">
        <v>4.95</v>
      </c>
    </row>
    <row r="84">
      <c r="A84" s="2" t="n">
        <v>46261</v>
      </c>
      <c r="B84" s="3" t="inlineStr">
        <is>
          <t>חמישי</t>
        </is>
      </c>
      <c r="C84" s="3" t="inlineStr">
        <is>
          <t>14:02</t>
        </is>
      </c>
      <c r="D84" s="3" t="inlineStr">
        <is>
          <t>CL</t>
        </is>
      </c>
      <c r="E84" s="3" t="inlineStr">
        <is>
          <t>FUT</t>
        </is>
      </c>
      <c r="F84" s="4" t="n">
        <v>2</v>
      </c>
      <c r="G84" s="5" t="n">
        <v>84.18000000000001</v>
      </c>
      <c r="H84" s="4">
        <f>IF(F84*G84=0,"",ROUND(I84/(F84*G84),0))</f>
        <v/>
      </c>
      <c r="I84" s="6" t="n">
        <v>168360</v>
      </c>
      <c r="J84" s="6" t="n">
        <v>1210.56</v>
      </c>
      <c r="K84" s="6">
        <f>I84-J84</f>
        <v/>
      </c>
      <c r="L84" s="5">
        <f>IF(OR(F84=0,H84=""),"",K84/(F84*H84))</f>
        <v/>
      </c>
      <c r="M84" s="7">
        <f>IF(K84=0,"",J84/K84)</f>
        <v/>
      </c>
      <c r="N84" s="4" t="n">
        <v>7.4</v>
      </c>
      <c r="O84" s="5" t="n">
        <v>4.72</v>
      </c>
    </row>
    <row r="85">
      <c r="A85" s="8" t="n">
        <v>46261</v>
      </c>
      <c r="B85" s="9" t="inlineStr">
        <is>
          <t>חמישי</t>
        </is>
      </c>
      <c r="C85" s="9" t="inlineStr">
        <is>
          <t>14:07</t>
        </is>
      </c>
      <c r="D85" s="9" t="inlineStr">
        <is>
          <t>CRM</t>
        </is>
      </c>
      <c r="E85" s="9" t="inlineStr">
        <is>
          <t>OPT</t>
        </is>
      </c>
      <c r="F85" s="10" t="n">
        <v>11</v>
      </c>
      <c r="G85" s="11" t="n">
        <v>0.7</v>
      </c>
      <c r="H85" s="10">
        <f>IF(F85*G85=0,"",ROUND(I85/(F85*G85),0))</f>
        <v/>
      </c>
      <c r="I85" s="12" t="n">
        <v>770</v>
      </c>
      <c r="J85" s="12" t="n">
        <v>284.42</v>
      </c>
      <c r="K85" s="12">
        <f>I85-J85</f>
        <v/>
      </c>
      <c r="L85" s="11">
        <f>IF(OR(F85=0,H85=""),"",K85/(F85*H85))</f>
        <v/>
      </c>
      <c r="M85" s="13">
        <f>IF(K85=0,"",J85/K85)</f>
        <v/>
      </c>
      <c r="N85" s="10" t="n">
        <v>104.7</v>
      </c>
      <c r="O85" s="11" t="n">
        <v>3.39</v>
      </c>
    </row>
    <row r="86">
      <c r="A86" s="2" t="n">
        <v>46261</v>
      </c>
      <c r="B86" s="3" t="inlineStr">
        <is>
          <t>חמישי</t>
        </is>
      </c>
      <c r="C86" s="3" t="inlineStr">
        <is>
          <t>14:07</t>
        </is>
      </c>
      <c r="D86" s="3" t="inlineStr">
        <is>
          <t>CRM</t>
        </is>
      </c>
      <c r="E86" s="3" t="inlineStr">
        <is>
          <t>OPT</t>
        </is>
      </c>
      <c r="F86" s="4" t="n">
        <v>4</v>
      </c>
      <c r="G86" s="5" t="n">
        <v>0.71</v>
      </c>
      <c r="H86" s="4">
        <f>IF(F86*G86=0,"",ROUND(I86/(F86*G86),0))</f>
        <v/>
      </c>
      <c r="I86" s="6" t="n">
        <v>284</v>
      </c>
      <c r="J86" s="6" t="n">
        <v>107.52</v>
      </c>
      <c r="K86" s="6">
        <f>I86-J86</f>
        <v/>
      </c>
      <c r="L86" s="5">
        <f>IF(OR(F86=0,H86=""),"",K86/(F86*H86))</f>
        <v/>
      </c>
      <c r="M86" s="7">
        <f>IF(K86=0,"",J86/K86)</f>
        <v/>
      </c>
      <c r="N86" s="4" t="n">
        <v>104.6</v>
      </c>
      <c r="O86" s="5" t="n">
        <v>1.14</v>
      </c>
    </row>
    <row r="87">
      <c r="A87" s="8" t="n">
        <v>46261</v>
      </c>
      <c r="B87" s="9" t="inlineStr">
        <is>
          <t>חמישי</t>
        </is>
      </c>
      <c r="C87" s="9" t="inlineStr">
        <is>
          <t>14:28</t>
        </is>
      </c>
      <c r="D87" s="9" t="inlineStr">
        <is>
          <t>CL</t>
        </is>
      </c>
      <c r="E87" s="9" t="inlineStr">
        <is>
          <t>FUT</t>
        </is>
      </c>
      <c r="F87" s="10" t="n">
        <v>3</v>
      </c>
      <c r="G87" s="11" t="n">
        <v>83.47</v>
      </c>
      <c r="H87" s="10">
        <f>IF(F87*G87=0,"",ROUND(I87/(F87*G87),0))</f>
        <v/>
      </c>
      <c r="I87" s="12" t="n">
        <v>250410</v>
      </c>
      <c r="J87" s="12" t="n">
        <v>-314.16</v>
      </c>
      <c r="K87" s="12">
        <f>I87-J87</f>
        <v/>
      </c>
      <c r="L87" s="11">
        <f>IF(OR(F87=0,H87=""),"",K87/(F87*H87))</f>
        <v/>
      </c>
      <c r="M87" s="13">
        <f>IF(K87=0,"",J87/K87)</f>
        <v/>
      </c>
      <c r="N87" s="10" t="n">
        <v>33.2</v>
      </c>
      <c r="O87" s="11" t="n">
        <v>7.08</v>
      </c>
    </row>
    <row r="88">
      <c r="A88" s="2" t="n">
        <v>46261</v>
      </c>
      <c r="B88" s="3" t="inlineStr">
        <is>
          <t>חמישי</t>
        </is>
      </c>
      <c r="C88" s="3" t="inlineStr">
        <is>
          <t>14:29</t>
        </is>
      </c>
      <c r="D88" s="3" t="inlineStr">
        <is>
          <t>MSTR</t>
        </is>
      </c>
      <c r="E88" s="3" t="inlineStr">
        <is>
          <t>OPT</t>
        </is>
      </c>
      <c r="F88" s="4" t="n">
        <v>100</v>
      </c>
      <c r="G88" s="5" t="n">
        <v>0.1</v>
      </c>
      <c r="H88" s="4">
        <f>IF(F88*G88=0,"",ROUND(I88/(F88*G88),0))</f>
        <v/>
      </c>
      <c r="I88" s="6" t="n">
        <v>1000</v>
      </c>
      <c r="J88" s="6" t="n">
        <v>-1462.93</v>
      </c>
      <c r="K88" s="6">
        <f>I88-J88</f>
        <v/>
      </c>
      <c r="L88" s="5">
        <f>IF(OR(F88=0,H88=""),"",K88/(F88*H88))</f>
        <v/>
      </c>
      <c r="M88" s="7">
        <f>IF(K88=0,"",J88/K88)</f>
        <v/>
      </c>
      <c r="N88" s="4" t="n">
        <v>225.8</v>
      </c>
      <c r="O88" s="5" t="n">
        <v>29.52</v>
      </c>
    </row>
    <row r="89">
      <c r="A89" s="8" t="n">
        <v>46261</v>
      </c>
      <c r="B89" s="9" t="inlineStr">
        <is>
          <t>חמישי</t>
        </is>
      </c>
      <c r="C89" s="9" t="inlineStr">
        <is>
          <t>15:59</t>
        </is>
      </c>
      <c r="D89" s="9" t="inlineStr">
        <is>
          <t>CRM</t>
        </is>
      </c>
      <c r="E89" s="9" t="inlineStr">
        <is>
          <t>OPT</t>
        </is>
      </c>
      <c r="F89" s="10" t="n">
        <v>2</v>
      </c>
      <c r="G89" s="11" t="n">
        <v>0.97</v>
      </c>
      <c r="H89" s="10">
        <f>IF(F89*G89=0,"",ROUND(I89/(F89*G89),0))</f>
        <v/>
      </c>
      <c r="I89" s="12" t="n">
        <v>194</v>
      </c>
      <c r="J89" s="12" t="n">
        <v>105.79</v>
      </c>
      <c r="K89" s="12">
        <f>I89-J89</f>
        <v/>
      </c>
      <c r="L89" s="11">
        <f>IF(OR(F89=0,H89=""),"",K89/(F89*H89))</f>
        <v/>
      </c>
      <c r="M89" s="13">
        <f>IF(K89=0,"",J89/K89)</f>
        <v/>
      </c>
      <c r="N89" s="10" t="n">
        <v>217.3</v>
      </c>
      <c r="O89" s="11" t="n">
        <v>0.55</v>
      </c>
    </row>
    <row r="90">
      <c r="A90" s="2" t="n">
        <v>46261</v>
      </c>
      <c r="B90" s="3" t="inlineStr">
        <is>
          <t>חמישי</t>
        </is>
      </c>
      <c r="C90" s="3" t="inlineStr">
        <is>
          <t>15:59</t>
        </is>
      </c>
      <c r="D90" s="3" t="inlineStr">
        <is>
          <t>CRM</t>
        </is>
      </c>
      <c r="E90" s="3" t="inlineStr">
        <is>
          <t>OPT</t>
        </is>
      </c>
      <c r="F90" s="4" t="n">
        <v>22</v>
      </c>
      <c r="G90" s="5" t="n">
        <v>0.99</v>
      </c>
      <c r="H90" s="4">
        <f>IF(F90*G90=0,"",ROUND(I90/(F90*G90),0))</f>
        <v/>
      </c>
      <c r="I90" s="6" t="n">
        <v>2178</v>
      </c>
      <c r="J90" s="6" t="n">
        <v>1204.76</v>
      </c>
      <c r="K90" s="6">
        <f>I90-J90</f>
        <v/>
      </c>
      <c r="L90" s="5">
        <f>IF(OR(F90=0,H90=""),"",K90/(F90*H90))</f>
        <v/>
      </c>
      <c r="M90" s="7">
        <f>IF(K90=0,"",J90/K90)</f>
        <v/>
      </c>
      <c r="N90" s="4" t="n">
        <v>216.9</v>
      </c>
      <c r="O90" s="5" t="n">
        <v>8.869999999999999</v>
      </c>
    </row>
    <row r="91">
      <c r="A91" s="8" t="n">
        <v>46261</v>
      </c>
      <c r="B91" s="9" t="inlineStr">
        <is>
          <t>חמישי</t>
        </is>
      </c>
      <c r="C91" s="9" t="inlineStr">
        <is>
          <t>16:00</t>
        </is>
      </c>
      <c r="D91" s="9" t="inlineStr">
        <is>
          <t>CRM</t>
        </is>
      </c>
      <c r="E91" s="9" t="inlineStr">
        <is>
          <t>OPT</t>
        </is>
      </c>
      <c r="F91" s="10" t="n">
        <v>1</v>
      </c>
      <c r="G91" s="11" t="n">
        <v>0.97</v>
      </c>
      <c r="H91" s="10">
        <f>IF(F91*G91=0,"",ROUND(I91/(F91*G91),0))</f>
        <v/>
      </c>
      <c r="I91" s="12" t="n">
        <v>97</v>
      </c>
      <c r="J91" s="12" t="n">
        <v>52.89</v>
      </c>
      <c r="K91" s="12">
        <f>I91-J91</f>
        <v/>
      </c>
      <c r="L91" s="11">
        <f>IF(OR(F91=0,H91=""),"",K91/(F91*H91))</f>
        <v/>
      </c>
      <c r="M91" s="13">
        <f>IF(K91=0,"",J91/K91)</f>
        <v/>
      </c>
      <c r="N91" s="10" t="n">
        <v>217.7</v>
      </c>
      <c r="O91" s="11" t="n">
        <v>0.27</v>
      </c>
    </row>
    <row r="92">
      <c r="A92" s="2" t="n">
        <v>46261</v>
      </c>
      <c r="B92" s="3" t="inlineStr">
        <is>
          <t>חמישי</t>
        </is>
      </c>
      <c r="C92" s="3" t="inlineStr">
        <is>
          <t>23:08</t>
        </is>
      </c>
      <c r="D92" s="3" t="inlineStr">
        <is>
          <t>CL</t>
        </is>
      </c>
      <c r="E92" s="3" t="inlineStr">
        <is>
          <t>FOP</t>
        </is>
      </c>
      <c r="F92" s="4" t="n">
        <v>7</v>
      </c>
      <c r="G92" s="5" t="n">
        <v>0.03</v>
      </c>
      <c r="H92" s="4">
        <f>IF(F92*G92=0,"",ROUND(I92/(F92*G92),0))</f>
        <v/>
      </c>
      <c r="I92" s="6" t="n">
        <v>210</v>
      </c>
      <c r="J92" s="6" t="n">
        <v>-1433.04</v>
      </c>
      <c r="K92" s="6">
        <f>I92-J92</f>
        <v/>
      </c>
      <c r="L92" s="5">
        <f>IF(OR(F92=0,H92=""),"",K92/(F92*H92))</f>
        <v/>
      </c>
      <c r="M92" s="7">
        <f>IF(K92=0,"",J92/K92)</f>
        <v/>
      </c>
      <c r="N92" s="4" t="n">
        <v>546.4</v>
      </c>
      <c r="O92" s="5" t="n">
        <v>16.52</v>
      </c>
    </row>
    <row r="93">
      <c r="A93" s="8" t="n">
        <v>46261</v>
      </c>
      <c r="B93" s="9" t="inlineStr">
        <is>
          <t>חמישי</t>
        </is>
      </c>
      <c r="C93" s="9" t="inlineStr">
        <is>
          <t>23:16</t>
        </is>
      </c>
      <c r="D93" s="9" t="inlineStr">
        <is>
          <t>CL</t>
        </is>
      </c>
      <c r="E93" s="9" t="inlineStr">
        <is>
          <t>FOP</t>
        </is>
      </c>
      <c r="F93" s="10" t="n">
        <v>5</v>
      </c>
      <c r="G93" s="11" t="n">
        <v>0.03</v>
      </c>
      <c r="H93" s="10">
        <f>IF(F93*G93=0,"",ROUND(I93/(F93*G93),0))</f>
        <v/>
      </c>
      <c r="I93" s="12" t="n">
        <v>150</v>
      </c>
      <c r="J93" s="12" t="n">
        <v>-1023.6</v>
      </c>
      <c r="K93" s="12">
        <f>I93-J93</f>
        <v/>
      </c>
      <c r="L93" s="11">
        <f>IF(OR(F93=0,H93=""),"",K93/(F93*H93))</f>
        <v/>
      </c>
      <c r="M93" s="13">
        <f>IF(K93=0,"",J93/K93)</f>
        <v/>
      </c>
      <c r="N93" s="10" t="n">
        <v>555.1</v>
      </c>
      <c r="O93" s="11" t="n">
        <v>11.8</v>
      </c>
    </row>
    <row r="94">
      <c r="A94" s="2" t="n">
        <v>46262</v>
      </c>
      <c r="B94" s="3" t="inlineStr">
        <is>
          <t>שישי</t>
        </is>
      </c>
      <c r="C94" s="3" t="inlineStr">
        <is>
          <t>01:23</t>
        </is>
      </c>
      <c r="D94" s="3" t="inlineStr">
        <is>
          <t>NQ</t>
        </is>
      </c>
      <c r="E94" s="3" t="inlineStr">
        <is>
          <t>FUT</t>
        </is>
      </c>
      <c r="F94" s="4" t="n">
        <v>1</v>
      </c>
      <c r="G94" s="5" t="n">
        <v>29612.5</v>
      </c>
      <c r="H94" s="4">
        <f>IF(F94*G94=0,"",ROUND(I94/(F94*G94),0))</f>
        <v/>
      </c>
      <c r="I94" s="6" t="n">
        <v>592250</v>
      </c>
      <c r="J94" s="6" t="n">
        <v>0</v>
      </c>
      <c r="K94" s="6">
        <f>I94-J94</f>
        <v/>
      </c>
      <c r="L94" s="5">
        <f>IF(OR(F94=0,H94=""),"",K94/(F94*H94))</f>
        <v/>
      </c>
      <c r="M94" s="7">
        <f>IF(K94=0,"",J94/K94)</f>
        <v/>
      </c>
      <c r="N94" s="4" t="n"/>
      <c r="O94" s="5" t="n">
        <v>2.24</v>
      </c>
    </row>
    <row r="95">
      <c r="A95" s="8" t="n">
        <v>46262</v>
      </c>
      <c r="B95" s="9" t="inlineStr">
        <is>
          <t>שישי</t>
        </is>
      </c>
      <c r="C95" s="9" t="inlineStr">
        <is>
          <t>09:32</t>
        </is>
      </c>
      <c r="D95" s="9" t="inlineStr">
        <is>
          <t>AMZN</t>
        </is>
      </c>
      <c r="E95" s="9" t="inlineStr">
        <is>
          <t>OPT</t>
        </is>
      </c>
      <c r="F95" s="10" t="n">
        <v>65</v>
      </c>
      <c r="G95" s="11" t="n">
        <v>0.21</v>
      </c>
      <c r="H95" s="10">
        <f>IF(F95*G95=0,"",ROUND(I95/(F95*G95),0))</f>
        <v/>
      </c>
      <c r="I95" s="12" t="n">
        <v>1365</v>
      </c>
      <c r="J95" s="12" t="n">
        <v>-814.5599999999999</v>
      </c>
      <c r="K95" s="12">
        <f>I95-J95</f>
        <v/>
      </c>
      <c r="L95" s="11">
        <f>IF(OR(F95=0,H95=""),"",K95/(F95*H95))</f>
        <v/>
      </c>
      <c r="M95" s="13">
        <f>IF(K95=0,"",J95/K95)</f>
        <v/>
      </c>
      <c r="N95" s="10" t="n">
        <v>0.6</v>
      </c>
      <c r="O95" s="11" t="n">
        <v>26.8</v>
      </c>
    </row>
    <row r="96">
      <c r="A96" s="2" t="n">
        <v>46262</v>
      </c>
      <c r="B96" s="3" t="inlineStr">
        <is>
          <t>שישי</t>
        </is>
      </c>
      <c r="C96" s="3" t="inlineStr">
        <is>
          <t>09:43</t>
        </is>
      </c>
      <c r="D96" s="3" t="inlineStr">
        <is>
          <t>NOW</t>
        </is>
      </c>
      <c r="E96" s="3" t="inlineStr">
        <is>
          <t>OPT</t>
        </is>
      </c>
      <c r="F96" s="4" t="n">
        <v>70</v>
      </c>
      <c r="G96" s="5" t="n">
        <v>0.16</v>
      </c>
      <c r="H96" s="4">
        <f>IF(F96*G96=0,"",ROUND(I96/(F96*G96),0))</f>
        <v/>
      </c>
      <c r="I96" s="6" t="n">
        <v>1120</v>
      </c>
      <c r="J96" s="6" t="n">
        <v>-1233.84</v>
      </c>
      <c r="K96" s="6">
        <f>I96-J96</f>
        <v/>
      </c>
      <c r="L96" s="5">
        <f>IF(OR(F96=0,H96=""),"",K96/(F96*H96))</f>
        <v/>
      </c>
      <c r="M96" s="7">
        <f>IF(K96=0,"",J96/K96)</f>
        <v/>
      </c>
      <c r="N96" s="4" t="n">
        <v>7</v>
      </c>
      <c r="O96" s="5" t="n">
        <v>18.96</v>
      </c>
    </row>
    <row r="97">
      <c r="A97" s="8" t="n">
        <v>46262</v>
      </c>
      <c r="B97" s="9" t="inlineStr">
        <is>
          <t>שישי</t>
        </is>
      </c>
      <c r="C97" s="9" t="inlineStr">
        <is>
          <t>09:49</t>
        </is>
      </c>
      <c r="D97" s="9" t="inlineStr">
        <is>
          <t>CRM</t>
        </is>
      </c>
      <c r="E97" s="9" t="inlineStr">
        <is>
          <t>OPT</t>
        </is>
      </c>
      <c r="F97" s="10" t="n">
        <v>10</v>
      </c>
      <c r="G97" s="11" t="n">
        <v>2.34</v>
      </c>
      <c r="H97" s="10">
        <f>IF(F97*G97=0,"",ROUND(I97/(F97*G97),0))</f>
        <v/>
      </c>
      <c r="I97" s="12" t="n">
        <v>2340</v>
      </c>
      <c r="J97" s="12" t="n">
        <v>1892.49</v>
      </c>
      <c r="K97" s="12">
        <f>I97-J97</f>
        <v/>
      </c>
      <c r="L97" s="11">
        <f>IF(OR(F97=0,H97=""),"",K97/(F97*H97))</f>
        <v/>
      </c>
      <c r="M97" s="13">
        <f>IF(K97=0,"",J97/K97)</f>
        <v/>
      </c>
      <c r="N97" s="10" t="n">
        <v>1287</v>
      </c>
      <c r="O97" s="11" t="n">
        <v>4.15</v>
      </c>
    </row>
    <row r="98">
      <c r="A98" s="2" t="n">
        <v>46262</v>
      </c>
      <c r="B98" s="3" t="inlineStr">
        <is>
          <t>שישי</t>
        </is>
      </c>
      <c r="C98" s="3" t="inlineStr">
        <is>
          <t>09:52</t>
        </is>
      </c>
      <c r="D98" s="3" t="inlineStr">
        <is>
          <t>NVDA</t>
        </is>
      </c>
      <c r="E98" s="3" t="inlineStr">
        <is>
          <t>OPT</t>
        </is>
      </c>
      <c r="F98" s="4" t="n">
        <v>70</v>
      </c>
      <c r="G98" s="5" t="n">
        <v>0.05</v>
      </c>
      <c r="H98" s="4">
        <f>IF(F98*G98=0,"",ROUND(I98/(F98*G98),0))</f>
        <v/>
      </c>
      <c r="I98" s="6" t="n">
        <v>350</v>
      </c>
      <c r="J98" s="6" t="n">
        <v>-2070.79</v>
      </c>
      <c r="K98" s="6">
        <f>I98-J98</f>
        <v/>
      </c>
      <c r="L98" s="5">
        <f>IF(OR(F98=0,H98=""),"",K98/(F98*H98))</f>
        <v/>
      </c>
      <c r="M98" s="7">
        <f>IF(K98=0,"",J98/K98)</f>
        <v/>
      </c>
      <c r="N98" s="4" t="n">
        <v>1078.9</v>
      </c>
      <c r="O98" s="5" t="n">
        <v>36.7</v>
      </c>
    </row>
    <row r="99">
      <c r="A99" s="8" t="n">
        <v>46262</v>
      </c>
      <c r="B99" s="9" t="inlineStr">
        <is>
          <t>שישי</t>
        </is>
      </c>
      <c r="C99" s="9" t="inlineStr">
        <is>
          <t>09:54</t>
        </is>
      </c>
      <c r="D99" s="9" t="inlineStr">
        <is>
          <t>MU</t>
        </is>
      </c>
      <c r="E99" s="9" t="inlineStr">
        <is>
          <t>OPT</t>
        </is>
      </c>
      <c r="F99" s="10" t="n">
        <v>1</v>
      </c>
      <c r="G99" s="11" t="n">
        <v>0.16</v>
      </c>
      <c r="H99" s="10">
        <f>IF(F99*G99=0,"",ROUND(I99/(F99*G99),0))</f>
        <v/>
      </c>
      <c r="I99" s="12" t="n">
        <v>16</v>
      </c>
      <c r="J99" s="12" t="n">
        <v>-56.8</v>
      </c>
      <c r="K99" s="12">
        <f>I99-J99</f>
        <v/>
      </c>
      <c r="L99" s="11">
        <f>IF(OR(F99=0,H99=""),"",K99/(F99*H99))</f>
        <v/>
      </c>
      <c r="M99" s="13">
        <f>IF(K99=0,"",J99/K99)</f>
        <v/>
      </c>
      <c r="N99" s="10" t="n"/>
      <c r="O99" s="11" t="n">
        <v>0.79</v>
      </c>
    </row>
    <row r="100">
      <c r="A100" s="2" t="n">
        <v>46262</v>
      </c>
      <c r="B100" s="3" t="inlineStr">
        <is>
          <t>שישי</t>
        </is>
      </c>
      <c r="C100" s="3" t="inlineStr">
        <is>
          <t>09:55</t>
        </is>
      </c>
      <c r="D100" s="3" t="inlineStr">
        <is>
          <t>MU</t>
        </is>
      </c>
      <c r="E100" s="3" t="inlineStr">
        <is>
          <t>OPT</t>
        </is>
      </c>
      <c r="F100" s="4" t="n">
        <v>29</v>
      </c>
      <c r="G100" s="5" t="n">
        <v>0.14</v>
      </c>
      <c r="H100" s="4">
        <f>IF(F100*G100=0,"",ROUND(I100/(F100*G100),0))</f>
        <v/>
      </c>
      <c r="I100" s="6" t="n">
        <v>406</v>
      </c>
      <c r="J100" s="6" t="n">
        <v>-1689.42</v>
      </c>
      <c r="K100" s="6">
        <f>I100-J100</f>
        <v/>
      </c>
      <c r="L100" s="5">
        <f>IF(OR(F100=0,H100=""),"",K100/(F100*H100))</f>
        <v/>
      </c>
      <c r="M100" s="7">
        <f>IF(K100=0,"",J100/K100)</f>
        <v/>
      </c>
      <c r="N100" s="4" t="n"/>
      <c r="O100" s="5" t="n">
        <v>7.23</v>
      </c>
    </row>
    <row r="101">
      <c r="A101" s="8" t="n">
        <v>46262</v>
      </c>
      <c r="B101" s="9" t="inlineStr">
        <is>
          <t>שישי</t>
        </is>
      </c>
      <c r="C101" s="9" t="inlineStr">
        <is>
          <t>09:59</t>
        </is>
      </c>
      <c r="D101" s="9" t="inlineStr">
        <is>
          <t>AMZN</t>
        </is>
      </c>
      <c r="E101" s="9" t="inlineStr">
        <is>
          <t>OPT</t>
        </is>
      </c>
      <c r="F101" s="10" t="n">
        <v>60</v>
      </c>
      <c r="G101" s="11" t="n">
        <v>0.18</v>
      </c>
      <c r="H101" s="10">
        <f>IF(F101*G101=0,"",ROUND(I101/(F101*G101),0))</f>
        <v/>
      </c>
      <c r="I101" s="12" t="n">
        <v>1080</v>
      </c>
      <c r="J101" s="12" t="n">
        <v>-568.15</v>
      </c>
      <c r="K101" s="12">
        <f>I101-J101</f>
        <v/>
      </c>
      <c r="L101" s="11">
        <f>IF(OR(F101=0,H101=""),"",K101/(F101*H101))</f>
        <v/>
      </c>
      <c r="M101" s="13">
        <f>IF(K101=0,"",J101/K101)</f>
        <v/>
      </c>
      <c r="N101" s="10" t="n">
        <v>10.4</v>
      </c>
      <c r="O101" s="11" t="n">
        <v>11.4</v>
      </c>
    </row>
    <row r="102">
      <c r="A102" s="2" t="n">
        <v>46262</v>
      </c>
      <c r="B102" s="3" t="inlineStr">
        <is>
          <t>שישי</t>
        </is>
      </c>
      <c r="C102" s="3" t="inlineStr">
        <is>
          <t>10:03</t>
        </is>
      </c>
      <c r="D102" s="3" t="inlineStr">
        <is>
          <t>NOW</t>
        </is>
      </c>
      <c r="E102" s="3" t="inlineStr">
        <is>
          <t>OPT</t>
        </is>
      </c>
      <c r="F102" s="4" t="n">
        <v>59</v>
      </c>
      <c r="G102" s="5" t="n">
        <v>0.18</v>
      </c>
      <c r="H102" s="4">
        <f>IF(F102*G102=0,"",ROUND(I102/(F102*G102),0))</f>
        <v/>
      </c>
      <c r="I102" s="6" t="n">
        <v>1062</v>
      </c>
      <c r="J102" s="6" t="n">
        <v>-915.85</v>
      </c>
      <c r="K102" s="6">
        <f>I102-J102</f>
        <v/>
      </c>
      <c r="L102" s="5">
        <f>IF(OR(F102=0,H102=""),"",K102/(F102*H102))</f>
        <v/>
      </c>
      <c r="M102" s="7">
        <f>IF(K102=0,"",J102/K102)</f>
        <v/>
      </c>
      <c r="N102" s="4" t="n">
        <v>6.7</v>
      </c>
      <c r="O102" s="5" t="n">
        <v>14.91</v>
      </c>
    </row>
    <row r="103">
      <c r="A103" s="8" t="n">
        <v>46262</v>
      </c>
      <c r="B103" s="9" t="inlineStr">
        <is>
          <t>שישי</t>
        </is>
      </c>
      <c r="C103" s="9" t="inlineStr">
        <is>
          <t>10:04</t>
        </is>
      </c>
      <c r="D103" s="9" t="inlineStr">
        <is>
          <t>NOW</t>
        </is>
      </c>
      <c r="E103" s="9" t="inlineStr">
        <is>
          <t>OPT</t>
        </is>
      </c>
      <c r="F103" s="10" t="n">
        <v>6</v>
      </c>
      <c r="G103" s="11" t="n">
        <v>0.18</v>
      </c>
      <c r="H103" s="10">
        <f>IF(F103*G103=0,"",ROUND(I103/(F103*G103),0))</f>
        <v/>
      </c>
      <c r="I103" s="12" t="n">
        <v>108</v>
      </c>
      <c r="J103" s="12" t="n">
        <v>-93.37</v>
      </c>
      <c r="K103" s="12">
        <f>I103-J103</f>
        <v/>
      </c>
      <c r="L103" s="11">
        <f>IF(OR(F103=0,H103=""),"",K103/(F103*H103))</f>
        <v/>
      </c>
      <c r="M103" s="13">
        <f>IF(K103=0,"",J103/K103)</f>
        <v/>
      </c>
      <c r="N103" s="10" t="n">
        <v>7.5</v>
      </c>
      <c r="O103" s="11" t="n">
        <v>1.75</v>
      </c>
    </row>
    <row r="104">
      <c r="A104" s="2" t="n">
        <v>46262</v>
      </c>
      <c r="B104" s="3" t="inlineStr">
        <is>
          <t>שישי</t>
        </is>
      </c>
      <c r="C104" s="3" t="inlineStr">
        <is>
          <t>10:05</t>
        </is>
      </c>
      <c r="D104" s="3" t="inlineStr">
        <is>
          <t>CRM</t>
        </is>
      </c>
      <c r="E104" s="3" t="inlineStr">
        <is>
          <t>OPT</t>
        </is>
      </c>
      <c r="F104" s="4" t="n">
        <v>40</v>
      </c>
      <c r="G104" s="5" t="n">
        <v>1.69</v>
      </c>
      <c r="H104" s="4">
        <f>IF(F104*G104=0,"",ROUND(I104/(F104*G104),0))</f>
        <v/>
      </c>
      <c r="I104" s="6" t="n">
        <v>6760</v>
      </c>
      <c r="J104" s="6" t="n">
        <v>4974.8</v>
      </c>
      <c r="K104" s="6">
        <f>I104-J104</f>
        <v/>
      </c>
      <c r="L104" s="5">
        <f>IF(OR(F104=0,H104=""),"",K104/(F104*H104))</f>
        <v/>
      </c>
      <c r="M104" s="7">
        <f>IF(K104=0,"",J104/K104)</f>
        <v/>
      </c>
      <c r="N104" s="4" t="n">
        <v>1302.3</v>
      </c>
      <c r="O104" s="5" t="n">
        <v>11.76</v>
      </c>
    </row>
    <row r="105">
      <c r="A105" s="8" t="n">
        <v>46262</v>
      </c>
      <c r="B105" s="9" t="inlineStr">
        <is>
          <t>שישי</t>
        </is>
      </c>
      <c r="C105" s="9" t="inlineStr">
        <is>
          <t>10:08</t>
        </is>
      </c>
      <c r="D105" s="9" t="inlineStr">
        <is>
          <t>INTC</t>
        </is>
      </c>
      <c r="E105" s="9" t="inlineStr">
        <is>
          <t>OPT</t>
        </is>
      </c>
      <c r="F105" s="10" t="n">
        <v>120</v>
      </c>
      <c r="G105" s="11" t="n">
        <v>0.05</v>
      </c>
      <c r="H105" s="10">
        <f>IF(F105*G105=0,"",ROUND(I105/(F105*G105),0))</f>
        <v/>
      </c>
      <c r="I105" s="12" t="n">
        <v>600</v>
      </c>
      <c r="J105" s="12" t="n">
        <v>-1741.02</v>
      </c>
      <c r="K105" s="12">
        <f>I105-J105</f>
        <v/>
      </c>
      <c r="L105" s="11">
        <f>IF(OR(F105=0,H105=""),"",K105/(F105*H105))</f>
        <v/>
      </c>
      <c r="M105" s="13">
        <f>IF(K105=0,"",J105/K105)</f>
        <v/>
      </c>
      <c r="N105" s="10" t="n">
        <v>728</v>
      </c>
      <c r="O105" s="11" t="n">
        <v>37.8</v>
      </c>
    </row>
    <row r="106">
      <c r="A106" s="2" t="n">
        <v>46262</v>
      </c>
      <c r="B106" s="3" t="inlineStr">
        <is>
          <t>שישי</t>
        </is>
      </c>
      <c r="C106" s="3" t="inlineStr">
        <is>
          <t>12:54</t>
        </is>
      </c>
      <c r="D106" s="3" t="inlineStr">
        <is>
          <t>AMZN</t>
        </is>
      </c>
      <c r="E106" s="3" t="inlineStr">
        <is>
          <t>OPT</t>
        </is>
      </c>
      <c r="F106" s="4" t="n">
        <v>15</v>
      </c>
      <c r="G106" s="5" t="n">
        <v>1.34</v>
      </c>
      <c r="H106" s="4">
        <f>IF(F106*G106=0,"",ROUND(I106/(F106*G106),0))</f>
        <v/>
      </c>
      <c r="I106" s="6" t="n">
        <v>2010</v>
      </c>
      <c r="J106" s="6" t="n">
        <v>1653.13</v>
      </c>
      <c r="K106" s="6">
        <f>I106-J106</f>
        <v/>
      </c>
      <c r="L106" s="5">
        <f>IF(OR(F106=0,H106=""),"",K106/(F106*H106))</f>
        <v/>
      </c>
      <c r="M106" s="7">
        <f>IF(K106=0,"",J106/K106)</f>
        <v/>
      </c>
      <c r="N106" s="4" t="n">
        <v>166.7</v>
      </c>
      <c r="O106" s="5" t="n">
        <v>4.1</v>
      </c>
    </row>
    <row r="107">
      <c r="A107" s="8" t="n">
        <v>46262</v>
      </c>
      <c r="B107" s="9" t="inlineStr">
        <is>
          <t>שישי</t>
        </is>
      </c>
      <c r="C107" s="9" t="inlineStr">
        <is>
          <t>22:16</t>
        </is>
      </c>
      <c r="D107" s="9" t="inlineStr">
        <is>
          <t>MSTR</t>
        </is>
      </c>
      <c r="E107" s="9" t="inlineStr">
        <is>
          <t>OPT</t>
        </is>
      </c>
      <c r="F107" s="10" t="n">
        <v>60</v>
      </c>
      <c r="G107" s="11" t="n">
        <v>0</v>
      </c>
      <c r="H107" s="10">
        <f>IF(F107*G107=0,"",ROUND(I107/(F107*G107),0))</f>
        <v/>
      </c>
      <c r="I107" s="12" t="n">
        <v>0</v>
      </c>
      <c r="J107" s="12" t="n">
        <v>-2160</v>
      </c>
      <c r="K107" s="12">
        <f>I107-J107</f>
        <v/>
      </c>
      <c r="L107" s="11">
        <f>IF(OR(F107=0,H107=""),"",K107/(F107*H107))</f>
        <v/>
      </c>
      <c r="M107" s="13">
        <f>IF(K107=0,"",J107/K107)</f>
        <v/>
      </c>
      <c r="N107" s="10" t="n">
        <v>1854.7</v>
      </c>
      <c r="O107" s="11" t="n">
        <v>0</v>
      </c>
    </row>
    <row r="108">
      <c r="A108" s="2" t="n">
        <v>46262</v>
      </c>
      <c r="B108" s="3" t="inlineStr">
        <is>
          <t>שישי</t>
        </is>
      </c>
      <c r="C108" s="3" t="inlineStr">
        <is>
          <t>22:16</t>
        </is>
      </c>
      <c r="D108" s="3" t="inlineStr">
        <is>
          <t>PURR</t>
        </is>
      </c>
      <c r="E108" s="3" t="inlineStr">
        <is>
          <t>OPT</t>
        </is>
      </c>
      <c r="F108" s="4" t="n">
        <v>100</v>
      </c>
      <c r="G108" s="5" t="n">
        <v>0</v>
      </c>
      <c r="H108" s="4">
        <f>IF(F108*G108=0,"",ROUND(I108/(F108*G108),0))</f>
        <v/>
      </c>
      <c r="I108" s="6" t="n">
        <v>0</v>
      </c>
      <c r="J108" s="6" t="n">
        <v>-2500</v>
      </c>
      <c r="K108" s="6">
        <f>I108-J108</f>
        <v/>
      </c>
      <c r="L108" s="5">
        <f>IF(OR(F108=0,H108=""),"",K108/(F108*H108))</f>
        <v/>
      </c>
      <c r="M108" s="7">
        <f>IF(K108=0,"",J108/K108)</f>
        <v/>
      </c>
      <c r="N108" s="4" t="n">
        <v>2083.2</v>
      </c>
      <c r="O108" s="5" t="n">
        <v>0</v>
      </c>
    </row>
    <row r="109">
      <c r="E109" s="14" t="inlineStr">
        <is>
          <t>סה"כ</t>
        </is>
      </c>
      <c r="F109" s="15">
        <f>SUM(F2:F108)</f>
        <v/>
      </c>
      <c r="I109" s="16">
        <f>SUM(I2:I108)</f>
        <v/>
      </c>
      <c r="J109" s="16">
        <f>SUM(J2:J108)</f>
        <v/>
      </c>
      <c r="K109" s="16">
        <f>SUM(K2:K108)</f>
        <v/>
      </c>
      <c r="M109" s="17">
        <f>IF(K109=0,"",J109/K109)</f>
        <v/>
      </c>
      <c r="O109" s="18">
        <f>SUM(O2:O108)</f>
        <v/>
      </c>
    </row>
    <row r="111">
      <c r="A111" s="19" t="inlineStr">
        <is>
          <t>פרמיה ששולמה = תמורה פחות תוצאה נטו. מחיר כניסה = פרמיה / (כמות × מכפיל).</t>
        </is>
      </c>
    </row>
    <row r="112">
      <c r="A112" s="19" t="inlineStr">
        <is>
          <t>התוצאה נטו כפי שמדווחת ב-IBKR כבר מנוכה עמלות משתי רגלי הסיבוב.</t>
        </is>
      </c>
    </row>
    <row r="113">
      <c r="A113" s="19" t="inlineStr">
        <is>
          <t>מקור: Interactive Brokers, get_account_trades. שעות בשעון המסחר.</t>
        </is>
      </c>
    </row>
  </sheetData>
  <autoFilter ref="A1:O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4" customWidth="1" min="5" max="5"/>
    <col width="15" customWidth="1" min="6" max="6"/>
    <col width="12" customWidth="1" min="7" max="7"/>
  </cols>
  <sheetData>
    <row r="1">
      <c r="A1" s="20" t="inlineStr">
        <is>
          <t>טיקר</t>
        </is>
      </c>
      <c r="B1" s="20" t="inlineStr">
        <is>
          <t>יציאות</t>
        </is>
      </c>
      <c r="C1" s="20" t="inlineStr">
        <is>
          <t>זוכות</t>
        </is>
      </c>
      <c r="D1" s="20" t="inlineStr">
        <is>
          <t>חוזים</t>
        </is>
      </c>
      <c r="E1" s="20" t="inlineStr">
        <is>
          <t>פרמיה ($)</t>
        </is>
      </c>
      <c r="F1" s="20" t="inlineStr">
        <is>
          <t>תוצאה נטו ($)</t>
        </is>
      </c>
      <c r="G1" s="20" t="inlineStr">
        <is>
          <t>% מהפרמיה</t>
        </is>
      </c>
    </row>
    <row r="2">
      <c r="A2" s="21" t="inlineStr">
        <is>
          <t>CRM</t>
        </is>
      </c>
      <c r="B2" s="22">
        <f>COUNTIF(עסקאות!$D$2:$D$108,$A2)</f>
        <v/>
      </c>
      <c r="C2" s="22">
        <f>COUNTIFS(עסקאות!$D$2:$D$108,$A2,עסקאות!$J$2:$J$108,"&gt;0")</f>
        <v/>
      </c>
      <c r="D2" s="22">
        <f>SUMIF(עסקאות!$D$2:$D$108,$A2,עסקאות!$F$2:$F$108)</f>
        <v/>
      </c>
      <c r="E2" s="23">
        <f>SUMIF(עסקאות!$D$2:$D$108,$A2,עסקאות!$K$2:$K$108)</f>
        <v/>
      </c>
      <c r="F2" s="23">
        <f>SUMIF(עסקאות!$D$2:$D$108,$A2,עסקאות!$J$2:$J$108)</f>
        <v/>
      </c>
      <c r="G2" s="24">
        <f>IF(E2=0,"",F2/E2)</f>
        <v/>
      </c>
    </row>
    <row r="3">
      <c r="A3" s="25" t="inlineStr">
        <is>
          <t>MU</t>
        </is>
      </c>
      <c r="B3" s="26">
        <f>COUNTIF(עסקאות!$D$2:$D$108,$A3)</f>
        <v/>
      </c>
      <c r="C3" s="26">
        <f>COUNTIFS(עסקאות!$D$2:$D$108,$A3,עסקאות!$J$2:$J$108,"&gt;0")</f>
        <v/>
      </c>
      <c r="D3" s="26">
        <f>SUMIF(עסקאות!$D$2:$D$108,$A3,עסקאות!$F$2:$F$108)</f>
        <v/>
      </c>
      <c r="E3" s="27">
        <f>SUMIF(עסקאות!$D$2:$D$108,$A3,עסקאות!$K$2:$K$108)</f>
        <v/>
      </c>
      <c r="F3" s="27">
        <f>SUMIF(עסקאות!$D$2:$D$108,$A3,עסקאות!$J$2:$J$108)</f>
        <v/>
      </c>
      <c r="G3" s="28">
        <f>IF(E3=0,"",F3/E3)</f>
        <v/>
      </c>
    </row>
    <row r="4">
      <c r="A4" s="21" t="inlineStr">
        <is>
          <t>PLTR</t>
        </is>
      </c>
      <c r="B4" s="22">
        <f>COUNTIF(עסקאות!$D$2:$D$108,$A4)</f>
        <v/>
      </c>
      <c r="C4" s="22">
        <f>COUNTIFS(עסקאות!$D$2:$D$108,$A4,עסקאות!$J$2:$J$108,"&gt;0")</f>
        <v/>
      </c>
      <c r="D4" s="22">
        <f>SUMIF(עסקאות!$D$2:$D$108,$A4,עסקאות!$F$2:$F$108)</f>
        <v/>
      </c>
      <c r="E4" s="23">
        <f>SUMIF(עסקאות!$D$2:$D$108,$A4,עסקאות!$K$2:$K$108)</f>
        <v/>
      </c>
      <c r="F4" s="23">
        <f>SUMIF(עסקאות!$D$2:$D$108,$A4,עסקאות!$J$2:$J$108)</f>
        <v/>
      </c>
      <c r="G4" s="24">
        <f>IF(E4=0,"",F4/E4)</f>
        <v/>
      </c>
    </row>
    <row r="5">
      <c r="A5" s="25" t="inlineStr">
        <is>
          <t>TSLA</t>
        </is>
      </c>
      <c r="B5" s="26">
        <f>COUNTIF(עסקאות!$D$2:$D$108,$A5)</f>
        <v/>
      </c>
      <c r="C5" s="26">
        <f>COUNTIFS(עסקאות!$D$2:$D$108,$A5,עסקאות!$J$2:$J$108,"&gt;0")</f>
        <v/>
      </c>
      <c r="D5" s="26">
        <f>SUMIF(עסקאות!$D$2:$D$108,$A5,עסקאות!$F$2:$F$108)</f>
        <v/>
      </c>
      <c r="E5" s="27">
        <f>SUMIF(עסקאות!$D$2:$D$108,$A5,עסקאות!$K$2:$K$108)</f>
        <v/>
      </c>
      <c r="F5" s="27">
        <f>SUMIF(עסקאות!$D$2:$D$108,$A5,עסקאות!$J$2:$J$108)</f>
        <v/>
      </c>
      <c r="G5" s="28">
        <f>IF(E5=0,"",F5/E5)</f>
        <v/>
      </c>
    </row>
    <row r="6">
      <c r="A6" s="21" t="inlineStr">
        <is>
          <t>AAOI</t>
        </is>
      </c>
      <c r="B6" s="22">
        <f>COUNTIF(עסקאות!$D$2:$D$108,$A6)</f>
        <v/>
      </c>
      <c r="C6" s="22">
        <f>COUNTIFS(עסקאות!$D$2:$D$108,$A6,עסקאות!$J$2:$J$108,"&gt;0")</f>
        <v/>
      </c>
      <c r="D6" s="22">
        <f>SUMIF(עסקאות!$D$2:$D$108,$A6,עסקאות!$F$2:$F$108)</f>
        <v/>
      </c>
      <c r="E6" s="23">
        <f>SUMIF(עסקאות!$D$2:$D$108,$A6,עסקאות!$K$2:$K$108)</f>
        <v/>
      </c>
      <c r="F6" s="23">
        <f>SUMIF(עסקאות!$D$2:$D$108,$A6,עסקאות!$J$2:$J$108)</f>
        <v/>
      </c>
      <c r="G6" s="24">
        <f>IF(E6=0,"",F6/E6)</f>
        <v/>
      </c>
    </row>
    <row r="7">
      <c r="A7" s="25" t="inlineStr">
        <is>
          <t>SMCI</t>
        </is>
      </c>
      <c r="B7" s="26">
        <f>COUNTIF(עסקאות!$D$2:$D$108,$A7)</f>
        <v/>
      </c>
      <c r="C7" s="26">
        <f>COUNTIFS(עסקאות!$D$2:$D$108,$A7,עסקאות!$J$2:$J$108,"&gt;0")</f>
        <v/>
      </c>
      <c r="D7" s="26">
        <f>SUMIF(עסקאות!$D$2:$D$108,$A7,עסקאות!$F$2:$F$108)</f>
        <v/>
      </c>
      <c r="E7" s="27">
        <f>SUMIF(עסקאות!$D$2:$D$108,$A7,עסקאות!$K$2:$K$108)</f>
        <v/>
      </c>
      <c r="F7" s="27">
        <f>SUMIF(עסקאות!$D$2:$D$108,$A7,עסקאות!$J$2:$J$108)</f>
        <v/>
      </c>
      <c r="G7" s="28">
        <f>IF(E7=0,"",F7/E7)</f>
        <v/>
      </c>
    </row>
    <row r="8">
      <c r="A8" s="21" t="inlineStr">
        <is>
          <t>AMZN</t>
        </is>
      </c>
      <c r="B8" s="22">
        <f>COUNTIF(עסקאות!$D$2:$D$108,$A8)</f>
        <v/>
      </c>
      <c r="C8" s="22">
        <f>COUNTIFS(עסקאות!$D$2:$D$108,$A8,עסקאות!$J$2:$J$108,"&gt;0")</f>
        <v/>
      </c>
      <c r="D8" s="22">
        <f>SUMIF(עסקאות!$D$2:$D$108,$A8,עסקאות!$F$2:$F$108)</f>
        <v/>
      </c>
      <c r="E8" s="23">
        <f>SUMIF(עסקאות!$D$2:$D$108,$A8,עסקאות!$K$2:$K$108)</f>
        <v/>
      </c>
      <c r="F8" s="23">
        <f>SUMIF(עסקאות!$D$2:$D$108,$A8,עסקאות!$J$2:$J$108)</f>
        <v/>
      </c>
      <c r="G8" s="24">
        <f>IF(E8=0,"",F8/E8)</f>
        <v/>
      </c>
    </row>
    <row r="9">
      <c r="A9" s="25" t="inlineStr">
        <is>
          <t>MSFT</t>
        </is>
      </c>
      <c r="B9" s="26">
        <f>COUNTIF(עסקאות!$D$2:$D$108,$A9)</f>
        <v/>
      </c>
      <c r="C9" s="26">
        <f>COUNTIFS(עסקאות!$D$2:$D$108,$A9,עסקאות!$J$2:$J$108,"&gt;0")</f>
        <v/>
      </c>
      <c r="D9" s="26">
        <f>SUMIF(עסקאות!$D$2:$D$108,$A9,עסקאות!$F$2:$F$108)</f>
        <v/>
      </c>
      <c r="E9" s="27">
        <f>SUMIF(עסקאות!$D$2:$D$108,$A9,עסקאות!$K$2:$K$108)</f>
        <v/>
      </c>
      <c r="F9" s="27">
        <f>SUMIF(עסקאות!$D$2:$D$108,$A9,עסקאות!$J$2:$J$108)</f>
        <v/>
      </c>
      <c r="G9" s="28">
        <f>IF(E9=0,"",F9/E9)</f>
        <v/>
      </c>
    </row>
    <row r="10">
      <c r="A10" s="21" t="inlineStr">
        <is>
          <t>NQ</t>
        </is>
      </c>
      <c r="B10" s="22">
        <f>COUNTIF(עסקאות!$D$2:$D$108,$A10)</f>
        <v/>
      </c>
      <c r="C10" s="22">
        <f>COUNTIFS(עסקאות!$D$2:$D$108,$A10,עסקאות!$J$2:$J$108,"&gt;0")</f>
        <v/>
      </c>
      <c r="D10" s="22">
        <f>SUMIF(עסקאות!$D$2:$D$108,$A10,עסקאות!$F$2:$F$108)</f>
        <v/>
      </c>
      <c r="E10" s="23">
        <f>SUMIF(עסקאות!$D$2:$D$108,$A10,עסקאות!$K$2:$K$108)</f>
        <v/>
      </c>
      <c r="F10" s="23">
        <f>SUMIF(עסקאות!$D$2:$D$108,$A10,עסקאות!$J$2:$J$108)</f>
        <v/>
      </c>
      <c r="G10" s="24">
        <f>IF(E10=0,"",F10/E10)</f>
        <v/>
      </c>
    </row>
    <row r="11">
      <c r="A11" s="25" t="inlineStr">
        <is>
          <t>NOW</t>
        </is>
      </c>
      <c r="B11" s="26">
        <f>COUNTIF(עסקאות!$D$2:$D$108,$A11)</f>
        <v/>
      </c>
      <c r="C11" s="26">
        <f>COUNTIFS(עסקאות!$D$2:$D$108,$A11,עסקאות!$J$2:$J$108,"&gt;0")</f>
        <v/>
      </c>
      <c r="D11" s="26">
        <f>SUMIF(עסקאות!$D$2:$D$108,$A11,עסקאות!$F$2:$F$108)</f>
        <v/>
      </c>
      <c r="E11" s="27">
        <f>SUMIF(עסקאות!$D$2:$D$108,$A11,עסקאות!$K$2:$K$108)</f>
        <v/>
      </c>
      <c r="F11" s="27">
        <f>SUMIF(עסקאות!$D$2:$D$108,$A11,עסקאות!$J$2:$J$108)</f>
        <v/>
      </c>
      <c r="G11" s="28">
        <f>IF(E11=0,"",F11/E11)</f>
        <v/>
      </c>
    </row>
    <row r="12">
      <c r="A12" s="21" t="inlineStr">
        <is>
          <t>ES</t>
        </is>
      </c>
      <c r="B12" s="22">
        <f>COUNTIF(עסקאות!$D$2:$D$108,$A12)</f>
        <v/>
      </c>
      <c r="C12" s="22">
        <f>COUNTIFS(עסקאות!$D$2:$D$108,$A12,עסקאות!$J$2:$J$108,"&gt;0")</f>
        <v/>
      </c>
      <c r="D12" s="22">
        <f>SUMIF(עסקאות!$D$2:$D$108,$A12,עסקאות!$F$2:$F$108)</f>
        <v/>
      </c>
      <c r="E12" s="23">
        <f>SUMIF(עסקאות!$D$2:$D$108,$A12,עסקאות!$K$2:$K$108)</f>
        <v/>
      </c>
      <c r="F12" s="23">
        <f>SUMIF(עסקאות!$D$2:$D$108,$A12,עסקאות!$J$2:$J$108)</f>
        <v/>
      </c>
      <c r="G12" s="24">
        <f>IF(E12=0,"",F12/E12)</f>
        <v/>
      </c>
    </row>
    <row r="13">
      <c r="A13" s="25" t="inlineStr">
        <is>
          <t>GC</t>
        </is>
      </c>
      <c r="B13" s="26">
        <f>COUNTIF(עסקאות!$D$2:$D$108,$A13)</f>
        <v/>
      </c>
      <c r="C13" s="26">
        <f>COUNTIFS(עסקאות!$D$2:$D$108,$A13,עסקאות!$J$2:$J$108,"&gt;0")</f>
        <v/>
      </c>
      <c r="D13" s="26">
        <f>SUMIF(עסקאות!$D$2:$D$108,$A13,עסקאות!$F$2:$F$108)</f>
        <v/>
      </c>
      <c r="E13" s="27">
        <f>SUMIF(עסקאות!$D$2:$D$108,$A13,עסקאות!$K$2:$K$108)</f>
        <v/>
      </c>
      <c r="F13" s="27">
        <f>SUMIF(עסקאות!$D$2:$D$108,$A13,עסקאות!$J$2:$J$108)</f>
        <v/>
      </c>
      <c r="G13" s="28">
        <f>IF(E13=0,"",F13/E13)</f>
        <v/>
      </c>
    </row>
    <row r="14">
      <c r="A14" s="21" t="inlineStr">
        <is>
          <t>ANET</t>
        </is>
      </c>
      <c r="B14" s="22">
        <f>COUNTIF(עסקאות!$D$2:$D$108,$A14)</f>
        <v/>
      </c>
      <c r="C14" s="22">
        <f>COUNTIFS(עסקאות!$D$2:$D$108,$A14,עסקאות!$J$2:$J$108,"&gt;0")</f>
        <v/>
      </c>
      <c r="D14" s="22">
        <f>SUMIF(עסקאות!$D$2:$D$108,$A14,עסקאות!$F$2:$F$108)</f>
        <v/>
      </c>
      <c r="E14" s="23">
        <f>SUMIF(עסקאות!$D$2:$D$108,$A14,עסקאות!$K$2:$K$108)</f>
        <v/>
      </c>
      <c r="F14" s="23">
        <f>SUMIF(עסקאות!$D$2:$D$108,$A14,עסקאות!$J$2:$J$108)</f>
        <v/>
      </c>
      <c r="G14" s="24">
        <f>IF(E14=0,"",F14/E14)</f>
        <v/>
      </c>
    </row>
    <row r="15">
      <c r="A15" s="25" t="inlineStr">
        <is>
          <t>OKLO</t>
        </is>
      </c>
      <c r="B15" s="26">
        <f>COUNTIF(עסקאות!$D$2:$D$108,$A15)</f>
        <v/>
      </c>
      <c r="C15" s="26">
        <f>COUNTIFS(עסקאות!$D$2:$D$108,$A15,עסקאות!$J$2:$J$108,"&gt;0")</f>
        <v/>
      </c>
      <c r="D15" s="26">
        <f>SUMIF(עסקאות!$D$2:$D$108,$A15,עסקאות!$F$2:$F$108)</f>
        <v/>
      </c>
      <c r="E15" s="27">
        <f>SUMIF(עסקאות!$D$2:$D$108,$A15,עסקאות!$K$2:$K$108)</f>
        <v/>
      </c>
      <c r="F15" s="27">
        <f>SUMIF(עסקאות!$D$2:$D$108,$A15,עסקאות!$J$2:$J$108)</f>
        <v/>
      </c>
      <c r="G15" s="28">
        <f>IF(E15=0,"",F15/E15)</f>
        <v/>
      </c>
    </row>
    <row r="16">
      <c r="A16" s="21" t="inlineStr">
        <is>
          <t>QQQ</t>
        </is>
      </c>
      <c r="B16" s="22">
        <f>COUNTIF(עסקאות!$D$2:$D$108,$A16)</f>
        <v/>
      </c>
      <c r="C16" s="22">
        <f>COUNTIFS(עסקאות!$D$2:$D$108,$A16,עסקאות!$J$2:$J$108,"&gt;0")</f>
        <v/>
      </c>
      <c r="D16" s="22">
        <f>SUMIF(עסקאות!$D$2:$D$108,$A16,עסקאות!$F$2:$F$108)</f>
        <v/>
      </c>
      <c r="E16" s="23">
        <f>SUMIF(עסקאות!$D$2:$D$108,$A16,עסקאות!$K$2:$K$108)</f>
        <v/>
      </c>
      <c r="F16" s="23">
        <f>SUMIF(עסקאות!$D$2:$D$108,$A16,עסקאות!$J$2:$J$108)</f>
        <v/>
      </c>
      <c r="G16" s="24">
        <f>IF(E16=0,"",F16/E16)</f>
        <v/>
      </c>
    </row>
    <row r="17">
      <c r="A17" s="25" t="inlineStr">
        <is>
          <t>MRNA</t>
        </is>
      </c>
      <c r="B17" s="26">
        <f>COUNTIF(עסקאות!$D$2:$D$108,$A17)</f>
        <v/>
      </c>
      <c r="C17" s="26">
        <f>COUNTIFS(עסקאות!$D$2:$D$108,$A17,עסקאות!$J$2:$J$108,"&gt;0")</f>
        <v/>
      </c>
      <c r="D17" s="26">
        <f>SUMIF(עסקאות!$D$2:$D$108,$A17,עסקאות!$F$2:$F$108)</f>
        <v/>
      </c>
      <c r="E17" s="27">
        <f>SUMIF(עסקאות!$D$2:$D$108,$A17,עסקאות!$K$2:$K$108)</f>
        <v/>
      </c>
      <c r="F17" s="27">
        <f>SUMIF(עסקאות!$D$2:$D$108,$A17,עסקאות!$J$2:$J$108)</f>
        <v/>
      </c>
      <c r="G17" s="28">
        <f>IF(E17=0,"",F17/E17)</f>
        <v/>
      </c>
    </row>
    <row r="18">
      <c r="A18" s="21" t="inlineStr">
        <is>
          <t>PURR</t>
        </is>
      </c>
      <c r="B18" s="22">
        <f>COUNTIF(עסקאות!$D$2:$D$108,$A18)</f>
        <v/>
      </c>
      <c r="C18" s="22">
        <f>COUNTIFS(עסקאות!$D$2:$D$108,$A18,עסקאות!$J$2:$J$108,"&gt;0")</f>
        <v/>
      </c>
      <c r="D18" s="22">
        <f>SUMIF(עסקאות!$D$2:$D$108,$A18,עסקאות!$F$2:$F$108)</f>
        <v/>
      </c>
      <c r="E18" s="23">
        <f>SUMIF(עסקאות!$D$2:$D$108,$A18,עסקאות!$K$2:$K$108)</f>
        <v/>
      </c>
      <c r="F18" s="23">
        <f>SUMIF(עסקאות!$D$2:$D$108,$A18,עסקאות!$J$2:$J$108)</f>
        <v/>
      </c>
      <c r="G18" s="24">
        <f>IF(E18=0,"",F18/E18)</f>
        <v/>
      </c>
    </row>
    <row r="19">
      <c r="A19" s="25" t="inlineStr">
        <is>
          <t>NU</t>
        </is>
      </c>
      <c r="B19" s="26">
        <f>COUNTIF(עסקאות!$D$2:$D$108,$A19)</f>
        <v/>
      </c>
      <c r="C19" s="26">
        <f>COUNTIFS(עסקאות!$D$2:$D$108,$A19,עסקאות!$J$2:$J$108,"&gt;0")</f>
        <v/>
      </c>
      <c r="D19" s="26">
        <f>SUMIF(עסקאות!$D$2:$D$108,$A19,עסקאות!$F$2:$F$108)</f>
        <v/>
      </c>
      <c r="E19" s="27">
        <f>SUMIF(עסקאות!$D$2:$D$108,$A19,עסקאות!$K$2:$K$108)</f>
        <v/>
      </c>
      <c r="F19" s="27">
        <f>SUMIF(עסקאות!$D$2:$D$108,$A19,עסקאות!$J$2:$J$108)</f>
        <v/>
      </c>
      <c r="G19" s="28">
        <f>IF(E19=0,"",F19/E19)</f>
        <v/>
      </c>
    </row>
    <row r="20">
      <c r="A20" s="21" t="inlineStr">
        <is>
          <t>CL</t>
        </is>
      </c>
      <c r="B20" s="22">
        <f>COUNTIF(עסקאות!$D$2:$D$108,$A20)</f>
        <v/>
      </c>
      <c r="C20" s="22">
        <f>COUNTIFS(עסקאות!$D$2:$D$108,$A20,עסקאות!$J$2:$J$108,"&gt;0")</f>
        <v/>
      </c>
      <c r="D20" s="22">
        <f>SUMIF(עסקאות!$D$2:$D$108,$A20,עסקאות!$F$2:$F$108)</f>
        <v/>
      </c>
      <c r="E20" s="23">
        <f>SUMIF(עסקאות!$D$2:$D$108,$A20,עסקאות!$K$2:$K$108)</f>
        <v/>
      </c>
      <c r="F20" s="23">
        <f>SUMIF(עסקאות!$D$2:$D$108,$A20,עסקאות!$J$2:$J$108)</f>
        <v/>
      </c>
      <c r="G20" s="24">
        <f>IF(E20=0,"",F20/E20)</f>
        <v/>
      </c>
    </row>
    <row r="21">
      <c r="A21" s="25" t="inlineStr">
        <is>
          <t>INTC</t>
        </is>
      </c>
      <c r="B21" s="26">
        <f>COUNTIF(עסקאות!$D$2:$D$108,$A21)</f>
        <v/>
      </c>
      <c r="C21" s="26">
        <f>COUNTIFS(עסקאות!$D$2:$D$108,$A21,עסקאות!$J$2:$J$108,"&gt;0")</f>
        <v/>
      </c>
      <c r="D21" s="26">
        <f>SUMIF(עסקאות!$D$2:$D$108,$A21,עסקאות!$F$2:$F$108)</f>
        <v/>
      </c>
      <c r="E21" s="27">
        <f>SUMIF(עסקאות!$D$2:$D$108,$A21,עסקאות!$K$2:$K$108)</f>
        <v/>
      </c>
      <c r="F21" s="27">
        <f>SUMIF(עסקאות!$D$2:$D$108,$A21,עסקאות!$J$2:$J$108)</f>
        <v/>
      </c>
      <c r="G21" s="28">
        <f>IF(E21=0,"",F21/E21)</f>
        <v/>
      </c>
    </row>
    <row r="22">
      <c r="A22" s="21" t="inlineStr">
        <is>
          <t>NVDA</t>
        </is>
      </c>
      <c r="B22" s="22">
        <f>COUNTIF(עסקאות!$D$2:$D$108,$A22)</f>
        <v/>
      </c>
      <c r="C22" s="22">
        <f>COUNTIFS(עסקאות!$D$2:$D$108,$A22,עסקאות!$J$2:$J$108,"&gt;0")</f>
        <v/>
      </c>
      <c r="D22" s="22">
        <f>SUMIF(עסקאות!$D$2:$D$108,$A22,עסקאות!$F$2:$F$108)</f>
        <v/>
      </c>
      <c r="E22" s="23">
        <f>SUMIF(עסקאות!$D$2:$D$108,$A22,עסקאות!$K$2:$K$108)</f>
        <v/>
      </c>
      <c r="F22" s="23">
        <f>SUMIF(עסקאות!$D$2:$D$108,$A22,עסקאות!$J$2:$J$108)</f>
        <v/>
      </c>
      <c r="G22" s="24">
        <f>IF(E22=0,"",F22/E22)</f>
        <v/>
      </c>
    </row>
    <row r="23">
      <c r="A23" s="25" t="inlineStr">
        <is>
          <t>MSTR</t>
        </is>
      </c>
      <c r="B23" s="26">
        <f>COUNTIF(עסקאות!$D$2:$D$108,$A23)</f>
        <v/>
      </c>
      <c r="C23" s="26">
        <f>COUNTIFS(עסקאות!$D$2:$D$108,$A23,עסקאות!$J$2:$J$108,"&gt;0")</f>
        <v/>
      </c>
      <c r="D23" s="26">
        <f>SUMIF(עסקאות!$D$2:$D$108,$A23,עסקאות!$F$2:$F$108)</f>
        <v/>
      </c>
      <c r="E23" s="27">
        <f>SUMIF(עסקאות!$D$2:$D$108,$A23,עסקאות!$K$2:$K$108)</f>
        <v/>
      </c>
      <c r="F23" s="27">
        <f>SUMIF(עסקאות!$D$2:$D$108,$A23,עסקאות!$J$2:$J$108)</f>
        <v/>
      </c>
      <c r="G23" s="28">
        <f>IF(E23=0,"",F23/E23)</f>
        <v/>
      </c>
    </row>
    <row r="24">
      <c r="A24" s="14" t="inlineStr">
        <is>
          <t>סה"כ</t>
        </is>
      </c>
      <c r="B24" s="15">
        <f>SUM(B2:B23)</f>
        <v/>
      </c>
      <c r="C24" s="15">
        <f>SUM(C2:C23)</f>
        <v/>
      </c>
      <c r="D24" s="15">
        <f>SUM(D2:D23)</f>
        <v/>
      </c>
      <c r="E24" s="16">
        <f>SUM(E2:E23)</f>
        <v/>
      </c>
      <c r="F24" s="16">
        <f>SUM(F2:F23)</f>
        <v/>
      </c>
      <c r="G24" s="17">
        <f>IF(E24=0,"",F24/E24)</f>
        <v/>
      </c>
    </row>
    <row r="26">
      <c r="A26" s="19" t="inlineStr">
        <is>
          <t>אחוז מהפרמיה בחוזים עתידיים אינו בר-פירוש — שם העלות היא נושׁנל ולא פרמיה.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9" customWidth="1" min="4" max="4"/>
    <col width="15" customWidth="1" min="5" max="5"/>
    <col width="14" customWidth="1" min="6" max="6"/>
  </cols>
  <sheetData>
    <row r="1">
      <c r="A1" s="20" t="inlineStr">
        <is>
          <t>תאריך</t>
        </is>
      </c>
      <c r="B1" s="20" t="inlineStr">
        <is>
          <t>יום</t>
        </is>
      </c>
      <c r="C1" s="20" t="inlineStr">
        <is>
          <t>יציאות</t>
        </is>
      </c>
      <c r="D1" s="20" t="inlineStr">
        <is>
          <t>זוכות</t>
        </is>
      </c>
      <c r="E1" s="20" t="inlineStr">
        <is>
          <t>תוצאה נטו ($)</t>
        </is>
      </c>
      <c r="F1" s="20" t="inlineStr">
        <is>
          <t>מצטבר ($)</t>
        </is>
      </c>
    </row>
    <row r="2">
      <c r="A2" s="29" t="n">
        <v>46258</v>
      </c>
      <c r="B2" s="21" t="inlineStr">
        <is>
          <t>שני</t>
        </is>
      </c>
      <c r="C2" s="22">
        <f>COUNTIF(עסקאות!$A$2:$A$108,$A2)</f>
        <v/>
      </c>
      <c r="D2" s="22">
        <f>COUNTIFS(עסקאות!$A$2:$A$108,$A2,עסקאות!$J$2:$J$108,"&gt;0")</f>
        <v/>
      </c>
      <c r="E2" s="23">
        <f>SUMIF(עסקאות!$A$2:$A$108,$A2,עסקאות!$J$2:$J$108)</f>
        <v/>
      </c>
      <c r="F2" s="23">
        <f>E2</f>
        <v/>
      </c>
    </row>
    <row r="3">
      <c r="A3" s="29" t="n">
        <v>46259</v>
      </c>
      <c r="B3" s="21" t="inlineStr">
        <is>
          <t>שלישי</t>
        </is>
      </c>
      <c r="C3" s="22">
        <f>COUNTIF(עסקאות!$A$2:$A$108,$A3)</f>
        <v/>
      </c>
      <c r="D3" s="22">
        <f>COUNTIFS(עסקאות!$A$2:$A$108,$A3,עסקאות!$J$2:$J$108,"&gt;0")</f>
        <v/>
      </c>
      <c r="E3" s="23">
        <f>SUMIF(עסקאות!$A$2:$A$108,$A3,עסקאות!$J$2:$J$108)</f>
        <v/>
      </c>
      <c r="F3" s="23">
        <f>F2+E3</f>
        <v/>
      </c>
    </row>
    <row r="4">
      <c r="A4" s="29" t="n">
        <v>46260</v>
      </c>
      <c r="B4" s="21" t="inlineStr">
        <is>
          <t>רביעי</t>
        </is>
      </c>
      <c r="C4" s="22">
        <f>COUNTIF(עסקאות!$A$2:$A$108,$A4)</f>
        <v/>
      </c>
      <c r="D4" s="22">
        <f>COUNTIFS(עסקאות!$A$2:$A$108,$A4,עסקאות!$J$2:$J$108,"&gt;0")</f>
        <v/>
      </c>
      <c r="E4" s="23">
        <f>SUMIF(עסקאות!$A$2:$A$108,$A4,עסקאות!$J$2:$J$108)</f>
        <v/>
      </c>
      <c r="F4" s="23">
        <f>F3+E4</f>
        <v/>
      </c>
    </row>
    <row r="5">
      <c r="A5" s="29" t="n">
        <v>46261</v>
      </c>
      <c r="B5" s="21" t="inlineStr">
        <is>
          <t>חמישי</t>
        </is>
      </c>
      <c r="C5" s="22">
        <f>COUNTIF(עסקאות!$A$2:$A$108,$A5)</f>
        <v/>
      </c>
      <c r="D5" s="22">
        <f>COUNTIFS(עסקאות!$A$2:$A$108,$A5,עסקאות!$J$2:$J$108,"&gt;0")</f>
        <v/>
      </c>
      <c r="E5" s="23">
        <f>SUMIF(עסקאות!$A$2:$A$108,$A5,עסקאות!$J$2:$J$108)</f>
        <v/>
      </c>
      <c r="F5" s="23">
        <f>F4+E5</f>
        <v/>
      </c>
    </row>
    <row r="6">
      <c r="A6" s="29" t="n">
        <v>46262</v>
      </c>
      <c r="B6" s="21" t="inlineStr">
        <is>
          <t>שישי</t>
        </is>
      </c>
      <c r="C6" s="22">
        <f>COUNTIF(עסקאות!$A$2:$A$108,$A6)</f>
        <v/>
      </c>
      <c r="D6" s="22">
        <f>COUNTIFS(עסקאות!$A$2:$A$108,$A6,עסקאות!$J$2:$J$108,"&gt;0")</f>
        <v/>
      </c>
      <c r="E6" s="23">
        <f>SUMIF(עסקאות!$A$2:$A$108,$A6,עסקאות!$J$2:$J$108)</f>
        <v/>
      </c>
      <c r="F6" s="23">
        <f>F5+E6</f>
        <v/>
      </c>
    </row>
    <row r="7">
      <c r="B7" s="14" t="inlineStr">
        <is>
          <t>סה"כ</t>
        </is>
      </c>
      <c r="C7" s="15">
        <f>SUM(C2:C6)</f>
        <v/>
      </c>
      <c r="D7" s="15">
        <f>SUM(D2:D6)</f>
        <v/>
      </c>
      <c r="E7" s="16">
        <f>SUM(E2:E6)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22" customWidth="1" min="3" max="3"/>
  </cols>
  <sheetData>
    <row r="1">
      <c r="A1" s="20" t="inlineStr">
        <is>
          <t>שלב</t>
        </is>
      </c>
      <c r="B1" s="20" t="inlineStr">
        <is>
          <t>שורות</t>
        </is>
      </c>
      <c r="C1" s="20" t="inlineStr">
        <is>
          <t>השפעה על התוצאה ($)</t>
        </is>
      </c>
    </row>
    <row r="2">
      <c r="A2" s="21" t="inlineStr">
        <is>
          <t>סה"כ עסקאות שנמשכו מ-IBKR</t>
        </is>
      </c>
      <c r="B2" s="22" t="n">
        <v>716</v>
      </c>
      <c r="C2" s="23" t="n">
        <v>5547.22</v>
      </c>
    </row>
    <row r="3">
      <c r="A3" s="25" t="inlineStr">
        <is>
          <t>(-) עסקאות במניות עצמן</t>
        </is>
      </c>
      <c r="B3" s="26" t="n">
        <v>-16</v>
      </c>
      <c r="C3" s="27" t="n">
        <v>2408.2</v>
      </c>
    </row>
    <row r="4">
      <c r="A4" s="21" t="inlineStr">
        <is>
          <t>(-) מכירות ב-0 ללא פוזיציה פתוחה — שאריות ריסטרט</t>
        </is>
      </c>
      <c r="B4" s="22" t="n">
        <v>-3</v>
      </c>
      <c r="C4" s="23" t="n">
        <v>0</v>
      </c>
    </row>
    <row r="5">
      <c r="A5" s="25" t="inlineStr">
        <is>
          <t>(=) שורות פקיעה — נזקפות כהפסד מלא</t>
        </is>
      </c>
      <c r="B5" s="26" t="n">
        <v>5</v>
      </c>
      <c r="C5" s="27" t="n">
        <v>-11171</v>
      </c>
    </row>
    <row r="6">
      <c r="A6" s="21" t="inlineStr">
        <is>
          <t>(-) רגלי BUY</t>
        </is>
      </c>
      <c r="B6" s="22" t="n">
        <v>-335</v>
      </c>
      <c r="C6" s="23" t="n">
        <v>5064.34</v>
      </c>
    </row>
    <row r="7">
      <c r="A7" s="25" t="inlineStr">
        <is>
          <t>(-) טיקרים שאינם ברשימה שנמסרה</t>
        </is>
      </c>
      <c r="B7" s="26" t="n">
        <v>-46</v>
      </c>
      <c r="C7" s="27" t="n">
        <v>11606.97</v>
      </c>
    </row>
    <row r="8">
      <c r="A8" s="21" t="inlineStr">
        <is>
          <t>(-) פוזיציות שהועברו ללילה (ANET, MRNA)</t>
        </is>
      </c>
      <c r="B8" s="22" t="n">
        <v>-9</v>
      </c>
      <c r="C8" s="23" t="n">
        <v>2519.7</v>
      </c>
    </row>
    <row r="9">
      <c r="A9" s="14">
        <f> הסט המסונן (גיליון "עסקאות")</f>
        <v/>
      </c>
      <c r="B9" s="15">
        <f>SUM(B2:B8)</f>
        <v/>
      </c>
      <c r="C9" s="16">
        <f>SUM(C2:C8)</f>
        <v/>
      </c>
    </row>
    <row r="10">
      <c r="A10" s="30" t="inlineStr">
        <is>
          <t>בדיקת התאמה מול גיליון העסקאות</t>
        </is>
      </c>
      <c r="C10" s="31">
        <f>'עסקאות'!J109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2026-08-30T05:31:47Z</dcterms:created>
  <dcterms:modified xsi:type="dcterms:W3CDTF">2026-08-30T05:31:47Z</dcterms:modified>
</cp:coreProperties>
</file>